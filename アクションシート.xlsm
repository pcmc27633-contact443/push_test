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6020" windowHeight="7875" activeTab="4"/>
  </bookViews>
  <sheets>
    <sheet name="Sheet1" sheetId="1" r:id="rId1"/>
    <sheet name="お店" sheetId="8" r:id="rId2"/>
    <sheet name="計算" sheetId="2" r:id="rId3"/>
    <sheet name="貸切" sheetId="3" r:id="rId4"/>
    <sheet name="雑多メモ" sheetId="4" r:id="rId5"/>
    <sheet name="Sheet2" sheetId="6" r:id="rId6"/>
    <sheet name="Sheet3" sheetId="7" r:id="rId7"/>
    <sheet name="Sheet4" sheetId="9" r:id="rId8"/>
  </sheets>
  <definedNames>
    <definedName name="_xlnm.Print_Area" localSheetId="5">Sheet2!$A$1:$G$19</definedName>
  </definedNames>
  <calcPr calcId="125725"/>
</workbook>
</file>

<file path=xl/calcChain.xml><?xml version="1.0" encoding="utf-8"?>
<calcChain xmlns="http://schemas.openxmlformats.org/spreadsheetml/2006/main">
  <c r="I2" i="7"/>
  <c r="D8" i="2"/>
  <c r="B12"/>
  <c r="E10" s="1"/>
  <c r="F10" s="1"/>
  <c r="C4" s="1"/>
  <c r="R2" i="4"/>
  <c r="S2" s="1"/>
  <c r="T2" s="1"/>
  <c r="U2" s="1"/>
  <c r="V2" s="1"/>
  <c r="W2" s="1"/>
  <c r="X2" s="1"/>
  <c r="Y2" s="1"/>
  <c r="Z2" s="1"/>
  <c r="AA2" s="1"/>
  <c r="AB2" s="1"/>
  <c r="AC2" s="1"/>
  <c r="AD2" s="1"/>
  <c r="AE2" s="1"/>
  <c r="AF2" s="1"/>
  <c r="AG2" s="1"/>
  <c r="AH2" s="1"/>
  <c r="AI2" s="1"/>
  <c r="R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C8" i="2"/>
  <c r="C3" l="1"/>
  <c r="F3" s="1"/>
</calcChain>
</file>

<file path=xl/sharedStrings.xml><?xml version="1.0" encoding="utf-8"?>
<sst xmlns="http://schemas.openxmlformats.org/spreadsheetml/2006/main" count="379" uniqueCount="323">
  <si>
    <t>店</t>
    <rPh sb="0" eb="1">
      <t>ミセ</t>
    </rPh>
    <phoneticPr fontId="1"/>
  </si>
  <si>
    <t>備考</t>
    <rPh sb="0" eb="2">
      <t>ビコウ</t>
    </rPh>
    <phoneticPr fontId="1"/>
  </si>
  <si>
    <t>http://r.gnavi.co.jp/g060403/?sc_lid=RS_todetail_shopname</t>
    <phoneticPr fontId="1"/>
  </si>
  <si>
    <t>東京都渋谷区宇田川町26-4 Ｌｕ’82ビル7F</t>
    <phoneticPr fontId="1"/>
  </si>
  <si>
    <t>http://r.gnavi.co.jp/fn6xx23j0000/?sc_lid=RS_todetail_shopname</t>
    <phoneticPr fontId="1"/>
  </si>
  <si>
    <t>東京都渋谷区渋谷1-25-6 渋谷パークサイド共同ビル2F</t>
    <phoneticPr fontId="1"/>
  </si>
  <si>
    <t>http://r.gnavi.co.jp/ksztdr7v0000/?sc_lid=RS_todetail_shopname</t>
    <phoneticPr fontId="1"/>
  </si>
  <si>
    <t>東京都渋谷区宇田川町23-11 リーエムビル4F</t>
    <phoneticPr fontId="1"/>
  </si>
  <si>
    <t>パーティオーガナイザーとは、婚活パーティや異業種交流会などのイベントに、主催者に代わって人集めをする外部スタッフのこと</t>
    <phoneticPr fontId="1"/>
  </si>
  <si>
    <t>http://nikkan-spa.jp/246977</t>
    <phoneticPr fontId="1"/>
  </si>
  <si>
    <t>http://tabelog.com/tokyo/A1301/A130103/13016561/dtlmenu/</t>
    <phoneticPr fontId="1"/>
  </si>
  <si>
    <t>新橋駅銀座口より徒歩3分　銀座駅より徒歩7分</t>
    <phoneticPr fontId="1"/>
  </si>
  <si>
    <t>イタリアン</t>
    <phoneticPr fontId="1"/>
  </si>
  <si>
    <t>タイ料理</t>
    <rPh sb="2" eb="4">
      <t>リョウリ</t>
    </rPh>
    <phoneticPr fontId="1"/>
  </si>
  <si>
    <t>http://tabelog.com/tokyo/A1302/A130201/13038504/</t>
    <phoneticPr fontId="1"/>
  </si>
  <si>
    <t>東京都千代田区丸の内1-5-1 新丸の内ビルディング 6F</t>
    <phoneticPr fontId="1"/>
  </si>
  <si>
    <t>http://tabelog.com/tokyo/A1302/A130201/13148661/</t>
    <phoneticPr fontId="1"/>
  </si>
  <si>
    <t>東京都千代田区大手町1-9-5 大手町フィナンシャルシティ ノースタワー 1F</t>
    <phoneticPr fontId="1"/>
  </si>
  <si>
    <t>http://tabelog.com/tokyo/A1302/A130202/13154077/table/</t>
    <phoneticPr fontId="1"/>
  </si>
  <si>
    <t>東京都中央区八重洲2-3-11 日本ふとん協会ビル 1Ｆ</t>
    <phoneticPr fontId="1"/>
  </si>
  <si>
    <t>http://tabelog.com/tokyo/A1303/A130301/13117243/table/</t>
    <phoneticPr fontId="1"/>
  </si>
  <si>
    <t>スペイン</t>
    <phoneticPr fontId="1"/>
  </si>
  <si>
    <t>東京都渋谷区渋谷3-2-3 帝都青山ビル B1Ｆ</t>
    <phoneticPr fontId="1"/>
  </si>
  <si>
    <t>http://tabelog.com/tokyo/A1303/A130302/13140376/table/</t>
    <phoneticPr fontId="1"/>
  </si>
  <si>
    <t>東京都渋谷区恵比寿西1-4-1 VANDAビル 3F</t>
    <phoneticPr fontId="1"/>
  </si>
  <si>
    <t>http://tabelog.com/tokyo/A1303/A130301/13052885/</t>
    <phoneticPr fontId="1"/>
  </si>
  <si>
    <t>東京都渋谷区道玄坂1-22-12 長島第一ビル9F・RF</t>
    <phoneticPr fontId="1"/>
  </si>
  <si>
    <t>損益分岐</t>
    <rPh sb="0" eb="2">
      <t>ソンエキ</t>
    </rPh>
    <rPh sb="2" eb="4">
      <t>ブンキ</t>
    </rPh>
    <phoneticPr fontId="1"/>
  </si>
  <si>
    <t>男</t>
    <rPh sb="0" eb="1">
      <t>オトコ</t>
    </rPh>
    <phoneticPr fontId="1"/>
  </si>
  <si>
    <t>女</t>
    <rPh sb="0" eb="1">
      <t>オンナ</t>
    </rPh>
    <phoneticPr fontId="1"/>
  </si>
  <si>
    <t>人数</t>
    <rPh sb="0" eb="2">
      <t>ニンズウ</t>
    </rPh>
    <phoneticPr fontId="1"/>
  </si>
  <si>
    <t>小計</t>
    <rPh sb="0" eb="2">
      <t>ショウケイ</t>
    </rPh>
    <phoneticPr fontId="1"/>
  </si>
  <si>
    <t>固定費（店への支払い）</t>
    <rPh sb="0" eb="3">
      <t>コテイヒ</t>
    </rPh>
    <rPh sb="4" eb="5">
      <t>ミセ</t>
    </rPh>
    <rPh sb="7" eb="9">
      <t>シハラ</t>
    </rPh>
    <phoneticPr fontId="1"/>
  </si>
  <si>
    <t>単価/人</t>
    <rPh sb="0" eb="2">
      <t>タンカ</t>
    </rPh>
    <rPh sb="3" eb="4">
      <t>ヒト</t>
    </rPh>
    <phoneticPr fontId="1"/>
  </si>
  <si>
    <t>売上</t>
    <rPh sb="0" eb="2">
      <t>ウリアゲ</t>
    </rPh>
    <phoneticPr fontId="1"/>
  </si>
  <si>
    <t>損益</t>
    <rPh sb="0" eb="2">
      <t>ソンエキ</t>
    </rPh>
    <phoneticPr fontId="1"/>
  </si>
  <si>
    <t>契約人数</t>
    <rPh sb="0" eb="2">
      <t>ケイヤク</t>
    </rPh>
    <rPh sb="2" eb="4">
      <t>ニンズウ</t>
    </rPh>
    <phoneticPr fontId="1"/>
  </si>
  <si>
    <t>貸切パーティー</t>
    <rPh sb="0" eb="2">
      <t>カシキリ</t>
    </rPh>
    <phoneticPr fontId="1"/>
  </si>
  <si>
    <t>洋風</t>
    <rPh sb="0" eb="2">
      <t>ヨウフウ</t>
    </rPh>
    <phoneticPr fontId="1"/>
  </si>
  <si>
    <t>http://plan.gnavi.co.jp/rc8vkb4c0000/plan-reserve/plan/plan_list/</t>
    <phoneticPr fontId="1"/>
  </si>
  <si>
    <t>http://r.gnavi.co.jp/c3fbuktf0000/menu1/</t>
    <phoneticPr fontId="1"/>
  </si>
  <si>
    <t>焼肉</t>
    <rPh sb="0" eb="2">
      <t>ヤキニク</t>
    </rPh>
    <phoneticPr fontId="1"/>
  </si>
  <si>
    <t xml:space="preserve">〒112-0001  東京都文京区白山5-36-5 白山伊豆与ビル2F </t>
    <phoneticPr fontId="1"/>
  </si>
  <si>
    <t>ビアホール×BBQ</t>
    <phoneticPr fontId="1"/>
  </si>
  <si>
    <t xml:space="preserve">〒171-0022  東京都豊島区南池袋1-22-2 FLCビル9F </t>
    <phoneticPr fontId="1"/>
  </si>
  <si>
    <t>http://r.gnavi.co.jp/gap7009/?sc_lid=RS_todetail_shopname</t>
    <phoneticPr fontId="1"/>
  </si>
  <si>
    <t>http://r.gnavi.co.jp/e258300/?sc_lid=RS_todetail_shopname</t>
    <phoneticPr fontId="1"/>
  </si>
  <si>
    <t xml:space="preserve">〒171-0021  東京都豊島区西池袋3-26-3 サンサーラ西池袋ビルB1 </t>
    <phoneticPr fontId="1"/>
  </si>
  <si>
    <t>http://r.gnavi.co.jp/g646900/?sc_lid=RS_todetail_shopname</t>
    <phoneticPr fontId="1"/>
  </si>
  <si>
    <t xml:space="preserve">〒153-0063  東京都目黒区目黒1-4-16 目黒Gビル2F </t>
    <phoneticPr fontId="1"/>
  </si>
  <si>
    <t>東京都新宿区歌舞伎町1-6-3 石塚ビル3F</t>
    <phoneticPr fontId="1"/>
  </si>
  <si>
    <t>http://r.gnavi.co.jp/a058472/map/</t>
    <phoneticPr fontId="1"/>
  </si>
  <si>
    <t>http://r.gnavi.co.jp/ez6wfp4p0000/lunch/?sc_lid=Lunch_todetail_shopname</t>
    <phoneticPr fontId="1"/>
  </si>
  <si>
    <t>東京都新宿区新宿3-27-5 ケースリービル7F</t>
    <phoneticPr fontId="1"/>
  </si>
  <si>
    <t>http://www.restaurants-park.jp/information/access</t>
    <phoneticPr fontId="1"/>
  </si>
  <si>
    <t>レストラン</t>
    <phoneticPr fontId="1"/>
  </si>
  <si>
    <t>東京都渋谷区宇田川町32-6 長崎ビル4F</t>
    <phoneticPr fontId="1"/>
  </si>
  <si>
    <t>新宿高島屋タイムズスクエア</t>
    <rPh sb="0" eb="2">
      <t>シンジュク</t>
    </rPh>
    <rPh sb="2" eb="5">
      <t>タカシマヤ</t>
    </rPh>
    <phoneticPr fontId="1"/>
  </si>
  <si>
    <t xml:space="preserve">東京都渋谷区宇田川町26-11 白馬ビル3F </t>
    <phoneticPr fontId="1"/>
  </si>
  <si>
    <t>http://r.gnavi.co.jp/3pr6dp7g0000/?back_id=gdh3203</t>
    <phoneticPr fontId="1"/>
  </si>
  <si>
    <t>焼肉</t>
    <rPh sb="0" eb="2">
      <t>ヤキニク</t>
    </rPh>
    <phoneticPr fontId="1"/>
  </si>
  <si>
    <t>http://tabelog.com/tokyo/A1301/A130101/13108600/</t>
    <phoneticPr fontId="1"/>
  </si>
  <si>
    <t>レストラン</t>
    <phoneticPr fontId="1"/>
  </si>
  <si>
    <t xml:space="preserve">東京都渋谷区広尾1-1-33 SPCJAPAN1F </t>
    <phoneticPr fontId="1"/>
  </si>
  <si>
    <t>レストラン</t>
    <phoneticPr fontId="1"/>
  </si>
  <si>
    <t>http://r.gnavi.co.jp/1de9z2k50000/?sc_lid=atb_5452517</t>
    <phoneticPr fontId="1"/>
  </si>
  <si>
    <t>http://www.greens-line.com/sub/party.html</t>
    <phoneticPr fontId="1"/>
  </si>
  <si>
    <t xml:space="preserve"> 東京都渋谷区道玄坂１丁目１７−１２</t>
    <phoneticPr fontId="1"/>
  </si>
  <si>
    <t>http://www.kasikiri-party.com/space/?id=1330755389-357509&amp;p=1&amp;t_ca=1</t>
    <phoneticPr fontId="1"/>
  </si>
  <si>
    <t>http://www.kasikiri-party.com/space/?id=1402726534-220516&amp;p=1&amp;t_ca=1</t>
    <phoneticPr fontId="1"/>
  </si>
  <si>
    <t>ラグジュアリーパーティルーム代々木</t>
    <phoneticPr fontId="1"/>
  </si>
  <si>
    <t>東京都渋谷区代々木1-21-16　アジリア代々木J'ｓ 1001号室</t>
    <phoneticPr fontId="1"/>
  </si>
  <si>
    <t>http://www.kasikiri-party.com/space/?id=1427357004-591915&amp;p=2&amp;t_ca=1</t>
    <phoneticPr fontId="1"/>
  </si>
  <si>
    <t>渋谷区東3-25-7　レスポアールビル4F</t>
    <phoneticPr fontId="1"/>
  </si>
  <si>
    <t>東京都中央区銀座8-3先 コリードー街</t>
    <phoneticPr fontId="1"/>
  </si>
  <si>
    <t>http://tabelog.com/tokyo/A1303/A130301/13120088/</t>
    <phoneticPr fontId="1"/>
  </si>
  <si>
    <t>イタリアン</t>
    <phoneticPr fontId="1"/>
  </si>
  <si>
    <t>東京都渋谷区渋谷3-10-14 長崎堂ビルB１F</t>
    <phoneticPr fontId="1"/>
  </si>
  <si>
    <t>http://tabelog.com/tokyo/A1303/A130302/13145481/dtlphotolst/3/smp2/</t>
    <phoneticPr fontId="1"/>
  </si>
  <si>
    <t>東京都渋谷区東3-16-1 ベルザ恵比寿 1F</t>
    <phoneticPr fontId="1"/>
  </si>
  <si>
    <t>東京都渋谷区宇田川町13-7 子安ビル 4F</t>
    <phoneticPr fontId="1"/>
  </si>
  <si>
    <t>http://www.kasikiri-party.com/space/?id=1404634472-267414&amp;p=2&amp;ca=15</t>
    <phoneticPr fontId="1"/>
  </si>
  <si>
    <t>東京都港区南青山3-4-2 BASE 南青山3F</t>
    <phoneticPr fontId="1"/>
  </si>
  <si>
    <t>http://www.kasikiri-party.com/space/?id=1298613420-552644&amp;p=1&amp;t_ca=1</t>
    <phoneticPr fontId="1"/>
  </si>
  <si>
    <t xml:space="preserve">http://r.gnavi.co.jp/p920924/ </t>
    <phoneticPr fontId="1"/>
  </si>
  <si>
    <t>〒150-0002 東京都渋谷区渋谷1-5-12 第2西青山ビル2F</t>
    <phoneticPr fontId="1"/>
  </si>
  <si>
    <t>http://www.bbq-partystyle.com/area/?id=1440388758-405069&amp;ca=1</t>
    <phoneticPr fontId="1"/>
  </si>
  <si>
    <t>佐藤エステートビル 〒150-0002 東京都渋谷区渋谷３丁目１８−５ 150 0002 丁目</t>
    <phoneticPr fontId="1"/>
  </si>
  <si>
    <t>http://www.kasikiri-party.com/space/?id=1421660360-994180&amp;p=2&amp;t_ca=1</t>
    <phoneticPr fontId="1"/>
  </si>
  <si>
    <t>東京都新宿区歌舞伎町2-1-11 オアシスビル8F</t>
    <phoneticPr fontId="1"/>
  </si>
  <si>
    <t>http://r.gnavi.co.jp/g158610/menu6/</t>
    <phoneticPr fontId="1"/>
  </si>
  <si>
    <t>タイ</t>
    <phoneticPr fontId="1"/>
  </si>
  <si>
    <t>http://r.gnavi.co.jp/g384402/photo/</t>
    <phoneticPr fontId="1"/>
  </si>
  <si>
    <t xml:space="preserve">〒107-0052  東京都港区赤坂6-2-14 レオ赤坂ビルB1 </t>
    <phoneticPr fontId="1"/>
  </si>
  <si>
    <t>http://tabelog.com/tokyo/A1317/A131703/13118337/</t>
    <phoneticPr fontId="1"/>
  </si>
  <si>
    <t>東京都目黒区自由が丘1-13-13 KAWABE BLD4F</t>
    <phoneticPr fontId="1"/>
  </si>
  <si>
    <t>http://tabelog.com/tokyo/A1317/A131703/13020335/</t>
    <phoneticPr fontId="1"/>
  </si>
  <si>
    <t>20名以上</t>
    <rPh sb="2" eb="5">
      <t>メイイジョウ</t>
    </rPh>
    <phoneticPr fontId="1"/>
  </si>
  <si>
    <t>東京都目黒区自由が丘1-26-4 ステラ自由が丘　Ｂ１Ｆ</t>
    <phoneticPr fontId="1"/>
  </si>
  <si>
    <t>http://www.krungsiam.info/</t>
    <phoneticPr fontId="1"/>
  </si>
  <si>
    <t>東京都目黒区自由が丘1-13-13 KAWABE BLD4F</t>
    <phoneticPr fontId="1"/>
  </si>
  <si>
    <t>10名まで</t>
    <rPh sb="2" eb="3">
      <t>メイ</t>
    </rPh>
    <phoneticPr fontId="1"/>
  </si>
  <si>
    <t>http://r.gnavi.co.jp/drhrvkyn0000/?sc_mid=edmweb88473</t>
    <phoneticPr fontId="1"/>
  </si>
  <si>
    <t>ビストロ</t>
    <phoneticPr fontId="1"/>
  </si>
  <si>
    <t>〒150-0044 東京都渋谷区円山町20-1 APAホテル2F</t>
    <phoneticPr fontId="1"/>
  </si>
  <si>
    <t>http://www.lets-enjoyparty.com/search/?id=1370518445-017138&amp;ca=1361346670-143641&amp;mt=1#detail_cooking</t>
    <phoneticPr fontId="1"/>
  </si>
  <si>
    <t>17名～</t>
    <rPh sb="2" eb="3">
      <t>メイ</t>
    </rPh>
    <phoneticPr fontId="1"/>
  </si>
  <si>
    <t xml:space="preserve">
東京都品川区西五反田2-19-12　五反田井門ビル1階 </t>
    <phoneticPr fontId="1"/>
  </si>
  <si>
    <t>http://www.lets-enjoyparty.com/search/?id=1389170532-657320&amp;ca=1361346567-137044&amp;mt=1</t>
    <phoneticPr fontId="1"/>
  </si>
  <si>
    <t>東京都港区港南2丁目16-2 太陽生命品川ビル地下１F</t>
    <phoneticPr fontId="1"/>
  </si>
  <si>
    <t>15名～</t>
    <rPh sb="2" eb="3">
      <t>メイ</t>
    </rPh>
    <phoneticPr fontId="1"/>
  </si>
  <si>
    <t>13名～</t>
    <rPh sb="2" eb="3">
      <t>メイ</t>
    </rPh>
    <phoneticPr fontId="1"/>
  </si>
  <si>
    <t>http://www.lets-enjoyparty.com/search/?id=1370167327-974670&amp;ca=1361346633-118568&amp;mt=1</t>
    <phoneticPr fontId="1"/>
  </si>
  <si>
    <t>http://loco.yahoo.co.jp/place/g-dKK5HrEdfPc/?prop=search&amp;ei=utf-8&amp;q=%E6%B8%8B%E8%B0%B7%E3%83%92%E3%82%AB%E3%83%AA%E3%82%A8&amp;p=%E9%A3%9F%E4%BA%8B&amp;utm_source=dd_local</t>
    <phoneticPr fontId="1"/>
  </si>
  <si>
    <t>渋谷イタリアン</t>
    <rPh sb="0" eb="2">
      <t>シブヤ</t>
    </rPh>
    <phoneticPr fontId="1"/>
  </si>
  <si>
    <t>http://restaurant.ikyu.com/102212/plan/?pndt=1&amp;ikCo=10000003&amp;CosNo=10000003&amp;CosUrl=102212%2Fplan%2F%3Fpndt%3D1</t>
    <phoneticPr fontId="1"/>
  </si>
  <si>
    <t>http://tabelog.com/tokyo/A1303/A130301/13170097/</t>
    <phoneticPr fontId="1"/>
  </si>
  <si>
    <t>http://hitosara.com/0006058351/photo/</t>
    <phoneticPr fontId="1"/>
  </si>
  <si>
    <t>http://r.gnavi.co.jp/8pmr890s0000/?back_id=g384417&amp;sc_lid=sp_enkai_detail01</t>
    <phoneticPr fontId="1"/>
  </si>
  <si>
    <t>http://www.hotpepper.jp/strJ001038809/</t>
    <phoneticPr fontId="1"/>
  </si>
  <si>
    <t>お肉や</t>
    <rPh sb="1" eb="2">
      <t>ニク</t>
    </rPh>
    <phoneticPr fontId="1"/>
  </si>
  <si>
    <t>http://www.hotpepper.jp/strJ001117129/appearance/</t>
    <phoneticPr fontId="1"/>
  </si>
  <si>
    <t>https://icotto.jp/presses/1299</t>
    <phoneticPr fontId="1"/>
  </si>
  <si>
    <t>http://tabelog.com/tokyo/A1303/A130301/13031662/</t>
    <phoneticPr fontId="1"/>
  </si>
  <si>
    <t>★</t>
    <phoneticPr fontId="1"/>
  </si>
  <si>
    <t>http://r.gnavi.co.jp/g325200/</t>
    <phoneticPr fontId="1"/>
  </si>
  <si>
    <t>渋谷ライオン</t>
    <rPh sb="0" eb="2">
      <t>シブヤ</t>
    </rPh>
    <phoneticPr fontId="1"/>
  </si>
  <si>
    <t>宮崎かなこ</t>
    <rPh sb="0" eb="2">
      <t>ミヤザキ</t>
    </rPh>
    <phoneticPr fontId="1"/>
  </si>
  <si>
    <t>にしこ</t>
    <phoneticPr fontId="1"/>
  </si>
  <si>
    <t>○</t>
    <phoneticPr fontId="1"/>
  </si>
  <si>
    <t>＜女性＞</t>
    <rPh sb="1" eb="3">
      <t>ジョセイ</t>
    </rPh>
    <phoneticPr fontId="1"/>
  </si>
  <si>
    <t>＜男性＞</t>
    <rPh sb="1" eb="3">
      <t>ダンセイ</t>
    </rPh>
    <phoneticPr fontId="1"/>
  </si>
  <si>
    <t>ホンマ</t>
    <phoneticPr fontId="1"/>
  </si>
  <si>
    <t>留</t>
    <rPh sb="0" eb="1">
      <t>リュウ</t>
    </rPh>
    <phoneticPr fontId="1"/>
  </si>
  <si>
    <t>佐藤祐</t>
    <rPh sb="0" eb="2">
      <t>サトウ</t>
    </rPh>
    <rPh sb="2" eb="3">
      <t>ユウ</t>
    </rPh>
    <phoneticPr fontId="1"/>
  </si>
  <si>
    <t>縣</t>
    <rPh sb="0" eb="1">
      <t>アガタ</t>
    </rPh>
    <phoneticPr fontId="1"/>
  </si>
  <si>
    <t>石嶋</t>
    <rPh sb="0" eb="2">
      <t>イシジマ</t>
    </rPh>
    <phoneticPr fontId="1"/>
  </si>
  <si>
    <t>しほ</t>
    <phoneticPr fontId="1"/>
  </si>
  <si>
    <t>まお</t>
    <phoneticPr fontId="1"/>
  </si>
  <si>
    <t>かすみ</t>
    <phoneticPr fontId="1"/>
  </si>
  <si>
    <t>りさ</t>
    <phoneticPr fontId="1"/>
  </si>
  <si>
    <t>ぴょん</t>
    <phoneticPr fontId="1"/>
  </si>
  <si>
    <t>渡辺</t>
    <rPh sb="0" eb="2">
      <t>ワタナベ</t>
    </rPh>
    <phoneticPr fontId="1"/>
  </si>
  <si>
    <t>西山さくら</t>
    <rPh sb="0" eb="2">
      <t>ニシヤマ</t>
    </rPh>
    <phoneticPr fontId="1"/>
  </si>
  <si>
    <t>大関</t>
    <rPh sb="0" eb="2">
      <t>オオゼキ</t>
    </rPh>
    <phoneticPr fontId="1"/>
  </si>
  <si>
    <t>IWA</t>
    <phoneticPr fontId="1"/>
  </si>
  <si>
    <t>のりお</t>
    <phoneticPr fontId="1"/>
  </si>
  <si>
    <t>ねもと</t>
    <phoneticPr fontId="1"/>
  </si>
  <si>
    <t>まつもも</t>
    <phoneticPr fontId="1"/>
  </si>
  <si>
    <t>すぎやま</t>
    <phoneticPr fontId="1"/>
  </si>
  <si>
    <t>ナイトウ</t>
    <phoneticPr fontId="1"/>
  </si>
  <si>
    <t>真吾</t>
    <rPh sb="0" eb="2">
      <t>シンゴ</t>
    </rPh>
    <phoneticPr fontId="1"/>
  </si>
  <si>
    <t>勝田</t>
    <rPh sb="0" eb="2">
      <t>カツタ</t>
    </rPh>
    <phoneticPr fontId="1"/>
  </si>
  <si>
    <t>西平</t>
    <rPh sb="0" eb="2">
      <t>ニシヒラ</t>
    </rPh>
    <phoneticPr fontId="1"/>
  </si>
  <si>
    <t>古屋</t>
    <rPh sb="0" eb="2">
      <t>フルヤ</t>
    </rPh>
    <phoneticPr fontId="1"/>
  </si>
  <si>
    <t>沼田</t>
    <rPh sb="0" eb="2">
      <t>ヌマタ</t>
    </rPh>
    <phoneticPr fontId="1"/>
  </si>
  <si>
    <t>ゴー佐藤</t>
    <rPh sb="2" eb="4">
      <t>サトウ</t>
    </rPh>
    <phoneticPr fontId="1"/>
  </si>
  <si>
    <t>長崎</t>
    <rPh sb="0" eb="2">
      <t>ナガサキ</t>
    </rPh>
    <phoneticPr fontId="1"/>
  </si>
  <si>
    <t>mika</t>
    <phoneticPr fontId="1"/>
  </si>
  <si>
    <t>wako</t>
    <phoneticPr fontId="1"/>
  </si>
  <si>
    <t>あずき</t>
    <phoneticPr fontId="1"/>
  </si>
  <si>
    <t>カツヨ</t>
    <phoneticPr fontId="1"/>
  </si>
  <si>
    <t>川鍋</t>
    <rPh sb="0" eb="2">
      <t>カワナベ</t>
    </rPh>
    <phoneticPr fontId="1"/>
  </si>
  <si>
    <t>みお</t>
    <phoneticPr fontId="1"/>
  </si>
  <si>
    <t>こうずみか</t>
    <phoneticPr fontId="1"/>
  </si>
  <si>
    <t>かみ</t>
    <phoneticPr fontId="1"/>
  </si>
  <si>
    <t>たかし</t>
    <phoneticPr fontId="1"/>
  </si>
  <si>
    <t>祐貴</t>
    <rPh sb="0" eb="1">
      <t>ユウ</t>
    </rPh>
    <rPh sb="1" eb="2">
      <t>キ</t>
    </rPh>
    <phoneticPr fontId="1"/>
  </si>
  <si>
    <t>留</t>
    <rPh sb="0" eb="1">
      <t>リュウ</t>
    </rPh>
    <phoneticPr fontId="1"/>
  </si>
  <si>
    <t>○</t>
    <phoneticPr fontId="1"/>
  </si>
  <si>
    <t>祐里</t>
    <rPh sb="0" eb="1">
      <t>ユウ</t>
    </rPh>
    <rPh sb="1" eb="2">
      <t>サト</t>
    </rPh>
    <phoneticPr fontId="1"/>
  </si>
  <si>
    <t>ゆうき１</t>
    <phoneticPr fontId="1"/>
  </si>
  <si>
    <t>ゆうき２</t>
    <phoneticPr fontId="1"/>
  </si>
  <si>
    <t>明日香</t>
    <rPh sb="0" eb="3">
      <t>アスカ</t>
    </rPh>
    <phoneticPr fontId="1"/>
  </si>
  <si>
    <t>近藤</t>
    <rPh sb="0" eb="2">
      <t>コンドウ</t>
    </rPh>
    <phoneticPr fontId="1"/>
  </si>
  <si>
    <t>Dai</t>
    <phoneticPr fontId="1"/>
  </si>
  <si>
    <t>ちづる</t>
    <phoneticPr fontId="1"/>
  </si>
  <si>
    <t>ゆりりん</t>
    <phoneticPr fontId="1"/>
  </si>
  <si>
    <t>Ayako</t>
    <phoneticPr fontId="1"/>
  </si>
  <si>
    <t>ザキヤマ</t>
    <phoneticPr fontId="1"/>
  </si>
  <si>
    <t>YUKI</t>
    <phoneticPr fontId="1"/>
  </si>
  <si>
    <t>TOSHI</t>
    <phoneticPr fontId="1"/>
  </si>
  <si>
    <t>satoshi</t>
    <phoneticPr fontId="1"/>
  </si>
  <si>
    <t>CHISATO</t>
    <phoneticPr fontId="1"/>
  </si>
  <si>
    <t>○</t>
    <phoneticPr fontId="1"/>
  </si>
  <si>
    <t>にしこ友人</t>
    <rPh sb="3" eb="5">
      <t>ユウジン</t>
    </rPh>
    <phoneticPr fontId="1"/>
  </si>
  <si>
    <t>みお友人</t>
    <rPh sb="2" eb="4">
      <t>ユウジン</t>
    </rPh>
    <phoneticPr fontId="1"/>
  </si>
  <si>
    <t>aki</t>
    <phoneticPr fontId="1"/>
  </si>
  <si>
    <t>Dai友人</t>
    <rPh sb="3" eb="5">
      <t>ユウジン</t>
    </rPh>
    <phoneticPr fontId="1"/>
  </si>
  <si>
    <t>にしこ友人２</t>
    <rPh sb="3" eb="5">
      <t>ユウジン</t>
    </rPh>
    <phoneticPr fontId="1"/>
  </si>
  <si>
    <t>kawaguchi</t>
    <phoneticPr fontId="1"/>
  </si>
  <si>
    <t>男</t>
    <rPh sb="0" eb="1">
      <t>オトコ</t>
    </rPh>
    <phoneticPr fontId="1"/>
  </si>
  <si>
    <t>女</t>
    <rPh sb="0" eb="1">
      <t>オンナ</t>
    </rPh>
    <phoneticPr fontId="1"/>
  </si>
  <si>
    <t>http://www.greens-line.com/sub/anthem.html</t>
    <phoneticPr fontId="1"/>
  </si>
  <si>
    <t>加藤</t>
    <rPh sb="0" eb="2">
      <t>カトウ</t>
    </rPh>
    <phoneticPr fontId="1"/>
  </si>
  <si>
    <t>○</t>
    <phoneticPr fontId="1"/>
  </si>
  <si>
    <t>タカガキ</t>
    <phoneticPr fontId="1"/>
  </si>
  <si>
    <t>留</t>
    <rPh sb="0" eb="1">
      <t>リュウ</t>
    </rPh>
    <phoneticPr fontId="1"/>
  </si>
  <si>
    <t>○</t>
    <phoneticPr fontId="1"/>
  </si>
  <si>
    <t>○</t>
    <phoneticPr fontId="1"/>
  </si>
  <si>
    <t>川鍋友人</t>
    <rPh sb="0" eb="2">
      <t>カワナベ</t>
    </rPh>
    <rPh sb="2" eb="4">
      <t>ユウジン</t>
    </rPh>
    <phoneticPr fontId="1"/>
  </si>
  <si>
    <t>○</t>
    <phoneticPr fontId="1"/>
  </si>
  <si>
    <t>富田</t>
    <rPh sb="0" eb="2">
      <t>トミタ</t>
    </rPh>
    <phoneticPr fontId="1"/>
  </si>
  <si>
    <t>https://secure.pronto.co.jp/apl/btcr/cp/PRTPT0001/form</t>
    <phoneticPr fontId="1"/>
  </si>
  <si>
    <t>YUKI友人</t>
    <rPh sb="4" eb="6">
      <t>ユウジン</t>
    </rPh>
    <phoneticPr fontId="1"/>
  </si>
  <si>
    <t>○</t>
    <phoneticPr fontId="1"/>
  </si>
  <si>
    <t>○</t>
    <phoneticPr fontId="1"/>
  </si>
  <si>
    <t>ふくだ</t>
    <phoneticPr fontId="1"/>
  </si>
  <si>
    <t>外税込</t>
    <rPh sb="0" eb="1">
      <t>ソト</t>
    </rPh>
    <rPh sb="1" eb="2">
      <t>ゼイ</t>
    </rPh>
    <rPh sb="2" eb="3">
      <t>コミ</t>
    </rPh>
    <phoneticPr fontId="1"/>
  </si>
  <si>
    <t>外税フラグ</t>
    <rPh sb="0" eb="1">
      <t>ソト</t>
    </rPh>
    <rPh sb="1" eb="2">
      <t>ゼイ</t>
    </rPh>
    <phoneticPr fontId="1"/>
  </si>
  <si>
    <t>会費</t>
    <rPh sb="0" eb="2">
      <t>カイヒ</t>
    </rPh>
    <phoneticPr fontId="1"/>
  </si>
  <si>
    <t>累計</t>
    <rPh sb="0" eb="2">
      <t>ルイケイ</t>
    </rPh>
    <phoneticPr fontId="1"/>
  </si>
  <si>
    <t>飲み会収入</t>
    <rPh sb="0" eb="1">
      <t>ノ</t>
    </rPh>
    <rPh sb="2" eb="3">
      <t>カイ</t>
    </rPh>
    <rPh sb="3" eb="5">
      <t>シュウニュウ</t>
    </rPh>
    <phoneticPr fontId="1"/>
  </si>
  <si>
    <t>オレ</t>
    <phoneticPr fontId="1"/>
  </si>
  <si>
    <t>渋谷</t>
    <rPh sb="0" eb="2">
      <t>シブヤ</t>
    </rPh>
    <phoneticPr fontId="1"/>
  </si>
  <si>
    <t>五反田</t>
    <phoneticPr fontId="1"/>
  </si>
  <si>
    <t>恵比寿</t>
    <phoneticPr fontId="1"/>
  </si>
  <si>
    <t>https://tblg.k-img.com/favicon.ico?20170919だるまさん 1丁目 （だるまさん いっちょうめ） - 恵比寿-居酒屋 [食べログ]</t>
    <phoneticPr fontId="1"/>
  </si>
  <si>
    <t>https://tblg.k-img.com/favicon.ico?20170919" &gt;コース一覧  和牛と馬肉 恵比寿 たら福 - 恵比寿-居酒屋 [食べログ</t>
    <phoneticPr fontId="1"/>
  </si>
  <si>
    <t>https://tblg.k-img.com/favicon.ico?20170919コース一覧  地鶏小町 恵比寿店 （ジドリコマチ） - 恵比寿-居酒屋 [食べログ]&lt;/A&gt;</t>
    <phoneticPr fontId="1"/>
  </si>
  <si>
    <t>https://tblg.k-img.com/favicon.ico?20170919" &gt;恵比寿 百鳥 （モモドリ） - 恵比寿-焼鳥 [食べログ]</t>
    <phoneticPr fontId="1"/>
  </si>
  <si>
    <t>新宿</t>
    <phoneticPr fontId="1"/>
  </si>
  <si>
    <t>https://tblg.k-img.com/favicon.ico?20170919" &gt;≪数量限定特別コース≫３h飲み放題付＋豪華地鶏10品5000→３５００円  比内地鶏専門個室居酒屋 新宿比内 新宿店 （【旧店名】京町紅しぐれ） -新宿三丁目-居酒屋 [食べログ</t>
    <phoneticPr fontId="1"/>
  </si>
  <si>
    <t>https://r.gnavi.co.jp/favicon.ico" &gt;九州料理×個室居酒屋 よかろうもん 新宿西口駅前店（新宿-居酒屋） - ぐるなび</t>
    <phoneticPr fontId="1"/>
  </si>
  <si>
    <t>https://cdn.r-corona.jp/prd.rb.r-corona.jp/assets/site_files/5ihe486b/favicon.ico?v=1500678108" &gt;個室焼鳥バル 鳥物語 新宿東口店【公式】</t>
    <phoneticPr fontId="1"/>
  </si>
  <si>
    <t>https://www.hotpepper.jp/favicon.ico" &gt;博多鶏 新宿店(居酒屋)＜ネット予約可＞  ホットペッパーグルメ</t>
    <phoneticPr fontId="1"/>
  </si>
  <si>
    <t>https://r.gnavi.co.jp/favicon.ico" &gt;鎌倉野菜とチーズフォンデュ 新宿ガーデンファーム 新宿東口店 地図・アクセス - ぐるなび</t>
    <phoneticPr fontId="1"/>
  </si>
  <si>
    <t>新橋</t>
    <phoneticPr fontId="1"/>
  </si>
  <si>
    <t>浜松町</t>
    <phoneticPr fontId="1"/>
  </si>
  <si>
    <t>https://tblg.k-img.com/favicon.ico?20170919" &gt;クーポン・地図  名古屋コーチン×個室居酒屋 鶏茂 浜松町・大門店 - 大門-居酒屋 [食べログ]</t>
    <phoneticPr fontId="1"/>
  </si>
  <si>
    <t>目黒</t>
    <phoneticPr fontId="1"/>
  </si>
  <si>
    <t>https://r.gnavi.co.jp/favicon.ico" &gt;ハイボールとやき豚 やんばるミートセンター 中目黒（中目黒-居酒屋） - ぐるなび</t>
    <phoneticPr fontId="1"/>
  </si>
  <si>
    <t>https://r.gnavi.co.jp/favicon.ico" &gt;隠れ家ダイニング ラクシュミー 個室：個室 - ぐるなび</t>
    <phoneticPr fontId="1"/>
  </si>
  <si>
    <t>池袋</t>
    <rPh sb="0" eb="2">
      <t>イケブクロ</t>
    </rPh>
    <phoneticPr fontId="1"/>
  </si>
  <si>
    <t>http://r.gnavi.co.jp/favicon.ico" &gt;ぐるなび - Private個室ダイニング リトル東京 ～Little Tokyo～ 池袋店（池袋-居酒屋）</t>
    <phoneticPr fontId="1"/>
  </si>
  <si>
    <t>http://r.gnavi.co.jp/favicon.ico" &gt;ぐるなび - 全席個室居酒屋 江戸こまち池袋西口店 地図・アクセス</t>
    <phoneticPr fontId="1"/>
  </si>
  <si>
    <t>http://r.gnavi.co.jp/favicon.ico" &gt;ぐるなび - 夜景個室ダイニング Shangri‐La 池袋東口店（池袋-居酒屋）</t>
    <phoneticPr fontId="1"/>
  </si>
  <si>
    <t>エリア</t>
    <phoneticPr fontId="1"/>
  </si>
  <si>
    <t>無料クーポン</t>
    <rPh sb="0" eb="2">
      <t>ムリョウ</t>
    </rPh>
    <phoneticPr fontId="1"/>
  </si>
  <si>
    <t>オプション</t>
    <phoneticPr fontId="1"/>
  </si>
  <si>
    <t>早割400円引き</t>
    <rPh sb="0" eb="1">
      <t>ハヤ</t>
    </rPh>
    <rPh sb="1" eb="2">
      <t>ワリ</t>
    </rPh>
    <rPh sb="5" eb="6">
      <t>エン</t>
    </rPh>
    <rPh sb="6" eb="7">
      <t>ビ</t>
    </rPh>
    <phoneticPr fontId="1"/>
  </si>
  <si>
    <t>ネット予約幹事無料</t>
    <rPh sb="3" eb="5">
      <t>ヨヤク</t>
    </rPh>
    <rPh sb="5" eb="7">
      <t>カンジ</t>
    </rPh>
    <rPh sb="7" eb="9">
      <t>ムリョウ</t>
    </rPh>
    <phoneticPr fontId="1"/>
  </si>
  <si>
    <t>留意点</t>
    <rPh sb="0" eb="3">
      <t>リュウイテン</t>
    </rPh>
    <phoneticPr fontId="1"/>
  </si>
  <si>
    <t>https://r.gnavi.co.jp/g915701/&gt;三ツ石ファーム（恵比寿-居酒屋） - ぐるなび</t>
    <phoneticPr fontId="1"/>
  </si>
  <si>
    <t>https://r.gnavi.co.jp/6pvr1xm90000/?utm_id=type-t_pc_dsa-tenpo-sp_y_lis&gt;熟成肉バルダイニング ミートデ ミート 新橋店（新橋-居酒屋） - ぐるなび</t>
    <phoneticPr fontId="1"/>
  </si>
  <si>
    <t>https://r.gnavi.co.jp/5bpnsdyg0000/coupon/&gt;炭焼炉端×個室居酒屋 麹家 新橋店 クーポン - ぐるなび</t>
    <phoneticPr fontId="1"/>
  </si>
  <si>
    <t>10名様以上幹事無料</t>
    <phoneticPr fontId="1"/>
  </si>
  <si>
    <t>10名様以上幹事無料★•金・祝前日のご利用不可</t>
    <phoneticPr fontId="1"/>
  </si>
  <si>
    <t>https://r.gnavi.co.jp/6t20hc3z0000/★個室肉バル×チーズタッカルビ ミート佐藤 五反田駅前店（五反田-居酒屋） - ぐるなび</t>
    <phoneticPr fontId="1"/>
  </si>
  <si>
    <t xml:space="preserve">6名様以上1名様、12名様以上2名様無料！ </t>
    <phoneticPr fontId="1"/>
  </si>
  <si>
    <t>https://r.gnavi.co.jp/e113143/coupon/ &gt;★肉とチーズの酒場 東京ミートチーズ工場 渋谷駅前店 クーポン - ぐるなび</t>
    <phoneticPr fontId="1"/>
  </si>
  <si>
    <t xml:space="preserve">6名様以上で1名分、15名様以上で2名分、30名様以上で3名分のコース料金が無料に </t>
    <phoneticPr fontId="1"/>
  </si>
  <si>
    <t>金・土・祝前日受付不可</t>
    <phoneticPr fontId="1"/>
  </si>
  <si>
    <t>https://r.gnavi.co.jp/a236406/map/ &gt;自家製ローストビーフ食べ放題 ビストロバンビーナ 渋谷駅前店 地図・アクセス - ぐるなび</t>
    <phoneticPr fontId="1"/>
  </si>
  <si>
    <t>•金/土/祝前日ご利用不可</t>
    <phoneticPr fontId="1"/>
  </si>
  <si>
    <t xml:space="preserve">全コース対象！6名様以上のコースご予約で1名様分⇒無料!! </t>
    <phoneticPr fontId="1"/>
  </si>
  <si>
    <t>ビール無</t>
    <rPh sb="3" eb="4">
      <t>ナシ</t>
    </rPh>
    <phoneticPr fontId="1"/>
  </si>
  <si>
    <t>6名様以上1名様、12名様以上2名様★無料★</t>
    <phoneticPr fontId="1"/>
  </si>
  <si>
    <t xml:space="preserve">
平日限定！【3000円宴会コース】大事な宴会に最適♪飲み放題＆料理7品3500円→3000円！</t>
    <phoneticPr fontId="1"/>
  </si>
  <si>
    <t>•金・土・祝前日は利用不可　税抜き</t>
    <phoneticPr fontId="1"/>
  </si>
  <si>
    <t>こうづさん</t>
    <phoneticPr fontId="1"/>
  </si>
  <si>
    <t>ナイトウさん</t>
    <phoneticPr fontId="1"/>
  </si>
  <si>
    <t>さとうのぞみ　さん</t>
    <phoneticPr fontId="1"/>
  </si>
  <si>
    <t>ササキ　さん</t>
    <phoneticPr fontId="1"/>
  </si>
  <si>
    <t>そうたろうさん</t>
    <phoneticPr fontId="1"/>
  </si>
  <si>
    <t>かおりんさん</t>
    <phoneticPr fontId="1"/>
  </si>
  <si>
    <t>ユカさん</t>
    <phoneticPr fontId="1"/>
  </si>
  <si>
    <t>まつももさん</t>
    <phoneticPr fontId="1"/>
  </si>
  <si>
    <t>井上さん</t>
    <rPh sb="0" eb="2">
      <t>イノウエ</t>
    </rPh>
    <phoneticPr fontId="1"/>
  </si>
  <si>
    <t>すぎやまさん</t>
    <phoneticPr fontId="1"/>
  </si>
  <si>
    <t>春田さん</t>
    <rPh sb="0" eb="2">
      <t>ハルタ</t>
    </rPh>
    <phoneticPr fontId="1"/>
  </si>
  <si>
    <t>ひさだ　さん</t>
    <phoneticPr fontId="1"/>
  </si>
  <si>
    <t>石垣さん</t>
    <rPh sb="0" eb="2">
      <t>イシガキ</t>
    </rPh>
    <phoneticPr fontId="1"/>
  </si>
  <si>
    <t>ホンマさん</t>
    <phoneticPr fontId="1"/>
  </si>
  <si>
    <t>うさこサン</t>
    <phoneticPr fontId="1"/>
  </si>
  <si>
    <t>Risaさん</t>
    <phoneticPr fontId="1"/>
  </si>
  <si>
    <t>前澤さん</t>
    <rPh sb="0" eb="2">
      <t>マエザワ</t>
    </rPh>
    <phoneticPr fontId="1"/>
  </si>
  <si>
    <t>メンバー</t>
    <phoneticPr fontId="1"/>
  </si>
  <si>
    <t>保管用</t>
    <rPh sb="0" eb="3">
      <t>ホカンヨウ</t>
    </rPh>
    <phoneticPr fontId="1"/>
  </si>
  <si>
    <t>男子</t>
    <rPh sb="0" eb="2">
      <t>ダンシ</t>
    </rPh>
    <phoneticPr fontId="1"/>
  </si>
  <si>
    <t>古屋</t>
    <rPh sb="0" eb="2">
      <t>フルヤ</t>
    </rPh>
    <phoneticPr fontId="1"/>
  </si>
  <si>
    <t>佐藤裕</t>
    <rPh sb="0" eb="2">
      <t>サトウ</t>
    </rPh>
    <rPh sb="2" eb="3">
      <t>ユウ</t>
    </rPh>
    <phoneticPr fontId="1"/>
  </si>
  <si>
    <t>加藤旭</t>
    <rPh sb="0" eb="2">
      <t>カトウ</t>
    </rPh>
    <rPh sb="2" eb="3">
      <t>アキラ</t>
    </rPh>
    <phoneticPr fontId="1"/>
  </si>
  <si>
    <t>勝田</t>
    <rPh sb="0" eb="2">
      <t>カツタ</t>
    </rPh>
    <phoneticPr fontId="1"/>
  </si>
  <si>
    <t>末綱</t>
    <rPh sb="0" eb="1">
      <t>スエ</t>
    </rPh>
    <rPh sb="1" eb="2">
      <t>ツナ</t>
    </rPh>
    <phoneticPr fontId="1"/>
  </si>
  <si>
    <t>ゆーじ</t>
    <phoneticPr fontId="1"/>
  </si>
  <si>
    <t>米井</t>
    <rPh sb="0" eb="1">
      <t>コメ</t>
    </rPh>
    <rPh sb="1" eb="2">
      <t>イ</t>
    </rPh>
    <phoneticPr fontId="1"/>
  </si>
  <si>
    <t>佐藤ゴー</t>
    <rPh sb="0" eb="2">
      <t>サトウ</t>
    </rPh>
    <phoneticPr fontId="1"/>
  </si>
  <si>
    <t>鶴野</t>
    <rPh sb="0" eb="2">
      <t>ツルノ</t>
    </rPh>
    <phoneticPr fontId="1"/>
  </si>
  <si>
    <t>すぎやま</t>
    <phoneticPr fontId="1"/>
  </si>
  <si>
    <t>女子</t>
    <rPh sb="0" eb="2">
      <t>ジョシ</t>
    </rPh>
    <phoneticPr fontId="1"/>
  </si>
  <si>
    <t>宮崎かなこ</t>
    <rPh sb="0" eb="2">
      <t>ミヤザキ</t>
    </rPh>
    <phoneticPr fontId="1"/>
  </si>
  <si>
    <t>Saori</t>
    <phoneticPr fontId="1"/>
  </si>
  <si>
    <t>美</t>
    <rPh sb="0" eb="1">
      <t>ミ</t>
    </rPh>
    <phoneticPr fontId="1"/>
  </si>
  <si>
    <t>hanazawa</t>
    <phoneticPr fontId="1"/>
  </si>
  <si>
    <t>かわのかおり</t>
    <phoneticPr fontId="1"/>
  </si>
  <si>
    <t>石垣さん</t>
    <rPh sb="0" eb="2">
      <t>イシガキ</t>
    </rPh>
    <phoneticPr fontId="1"/>
  </si>
  <si>
    <t>こうずみか</t>
    <phoneticPr fontId="1"/>
  </si>
  <si>
    <t>Ayumi</t>
    <phoneticPr fontId="1"/>
  </si>
  <si>
    <t>あやめ</t>
    <phoneticPr fontId="1"/>
  </si>
  <si>
    <t>神川</t>
    <rPh sb="0" eb="2">
      <t>カミカワ</t>
    </rPh>
    <phoneticPr fontId="1"/>
  </si>
  <si>
    <t>熊本</t>
    <rPh sb="0" eb="2">
      <t>クマモト</t>
    </rPh>
    <phoneticPr fontId="1"/>
  </si>
  <si>
    <t>札幌</t>
    <rPh sb="0" eb="2">
      <t>サッポロ</t>
    </rPh>
    <phoneticPr fontId="1"/>
  </si>
  <si>
    <t>大分</t>
    <rPh sb="0" eb="2">
      <t>オオイタ</t>
    </rPh>
    <phoneticPr fontId="1"/>
  </si>
  <si>
    <t>千葉</t>
    <rPh sb="0" eb="2">
      <t>チバ</t>
    </rPh>
    <phoneticPr fontId="1"/>
  </si>
  <si>
    <t>横浜</t>
    <rPh sb="0" eb="2">
      <t>ヨコハマ</t>
    </rPh>
    <phoneticPr fontId="1"/>
  </si>
  <si>
    <t>秋田</t>
    <rPh sb="0" eb="2">
      <t>アキタ</t>
    </rPh>
    <phoneticPr fontId="1"/>
  </si>
  <si>
    <t>東芝</t>
    <rPh sb="0" eb="2">
      <t>トウシバ</t>
    </rPh>
    <phoneticPr fontId="1"/>
  </si>
  <si>
    <t>フリーIT</t>
    <phoneticPr fontId="1"/>
  </si>
  <si>
    <t>IT</t>
    <phoneticPr fontId="1"/>
  </si>
  <si>
    <t>ゆかり</t>
    <phoneticPr fontId="1"/>
  </si>
  <si>
    <t>医療検査技師</t>
    <rPh sb="0" eb="2">
      <t>イリョウ</t>
    </rPh>
    <rPh sb="2" eb="4">
      <t>ケンサ</t>
    </rPh>
    <rPh sb="4" eb="6">
      <t>ギシ</t>
    </rPh>
    <phoneticPr fontId="1"/>
  </si>
  <si>
    <t>きゃめちゃん</t>
    <phoneticPr fontId="1"/>
  </si>
  <si>
    <t>三井住友銀行</t>
    <rPh sb="0" eb="2">
      <t>ミツイ</t>
    </rPh>
    <rPh sb="2" eb="4">
      <t>スミトモ</t>
    </rPh>
    <rPh sb="4" eb="6">
      <t>ギンコウ</t>
    </rPh>
    <phoneticPr fontId="1"/>
  </si>
  <si>
    <t>Chie sasaki</t>
    <phoneticPr fontId="1"/>
  </si>
  <si>
    <t>みうらちえ</t>
    <phoneticPr fontId="1"/>
  </si>
  <si>
    <t>よしだあやの</t>
    <phoneticPr fontId="1"/>
  </si>
  <si>
    <t>いちおか</t>
    <phoneticPr fontId="1"/>
  </si>
  <si>
    <t>（愛知）</t>
    <rPh sb="1" eb="3">
      <t>アイチ</t>
    </rPh>
    <phoneticPr fontId="1"/>
  </si>
  <si>
    <t>美</t>
    <rPh sb="0" eb="1">
      <t>ビ</t>
    </rPh>
    <phoneticPr fontId="1"/>
  </si>
  <si>
    <t>有沙</t>
    <rPh sb="0" eb="2">
      <t>アリサ</t>
    </rPh>
    <phoneticPr fontId="1"/>
  </si>
  <si>
    <t>おり</t>
    <phoneticPr fontId="1"/>
  </si>
  <si>
    <t>美</t>
    <rPh sb="0" eb="1">
      <t>ビ</t>
    </rPh>
    <phoneticPr fontId="1"/>
  </si>
</sst>
</file>

<file path=xl/styles.xml><?xml version="1.0" encoding="utf-8"?>
<styleSheet xmlns="http://schemas.openxmlformats.org/spreadsheetml/2006/main">
  <numFmts count="2">
    <numFmt numFmtId="42" formatCode="_ &quot;¥&quot;* #,##0_ ;_ &quot;¥&quot;* \-#,##0_ ;_ &quot;¥&quot;* &quot;-&quot;_ ;_ @_ "/>
    <numFmt numFmtId="176" formatCode="m/d;@"/>
  </numFmts>
  <fonts count="5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1"/>
      <color theme="1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8"/>
      <color theme="1"/>
      <name val="ＭＳ Ｐ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6F32D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23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56" fontId="0" fillId="0" borderId="0" xfId="0" applyNumberFormat="1">
      <alignment vertical="center"/>
    </xf>
    <xf numFmtId="5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/>
    </xf>
    <xf numFmtId="0" fontId="0" fillId="6" borderId="0" xfId="0" applyFill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10" borderId="1" xfId="0" applyFill="1" applyBorder="1">
      <alignment vertical="center"/>
    </xf>
    <xf numFmtId="42" fontId="0" fillId="0" borderId="0" xfId="0" applyNumberFormat="1">
      <alignment vertical="center"/>
    </xf>
    <xf numFmtId="0" fontId="4" fillId="0" borderId="0" xfId="0" applyFont="1" applyAlignment="1">
      <alignment vertical="center" shrinkToFit="1"/>
    </xf>
    <xf numFmtId="0" fontId="0" fillId="0" borderId="3" xfId="0" applyBorder="1">
      <alignment vertical="center"/>
    </xf>
    <xf numFmtId="0" fontId="0" fillId="0" borderId="3" xfId="0" applyBorder="1" applyAlignment="1">
      <alignment vertical="center" shrinkToFit="1"/>
    </xf>
  </cellXfs>
  <cellStyles count="2">
    <cellStyle name="ハイパーリンク" xfId="1" builtinId="8"/>
    <cellStyle name="標準" xfId="0" builtinId="0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colors>
    <mruColors>
      <color rgb="FF36F32D"/>
      <color rgb="FFCCFF99"/>
      <color rgb="FFFF00FF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tabelog.com/tokyo/A1302/A130202/13154077/table/" TargetMode="External"/><Relationship Id="rId13" Type="http://schemas.openxmlformats.org/officeDocument/2006/relationships/hyperlink" Target="http://r.gnavi.co.jp/c3fbuktf0000/menu1/" TargetMode="External"/><Relationship Id="rId18" Type="http://schemas.openxmlformats.org/officeDocument/2006/relationships/hyperlink" Target="http://r.gnavi.co.jp/ez6wfp4p0000/lunch/?sc_lid=Lunch_todetail_shopname" TargetMode="External"/><Relationship Id="rId26" Type="http://schemas.openxmlformats.org/officeDocument/2006/relationships/hyperlink" Target="http://tabelog.com/tokyo/A1317/A131703/13118337/" TargetMode="External"/><Relationship Id="rId3" Type="http://schemas.openxmlformats.org/officeDocument/2006/relationships/hyperlink" Target="http://r.gnavi.co.jp/ksztdr7v0000/?sc_lid=RS_todetail_shopname" TargetMode="External"/><Relationship Id="rId21" Type="http://schemas.openxmlformats.org/officeDocument/2006/relationships/hyperlink" Target="http://tabelog.com/tokyo/A1301/A130101/13108600/" TargetMode="External"/><Relationship Id="rId34" Type="http://schemas.openxmlformats.org/officeDocument/2006/relationships/hyperlink" Target="https://icotto.jp/presses/1299" TargetMode="External"/><Relationship Id="rId7" Type="http://schemas.openxmlformats.org/officeDocument/2006/relationships/hyperlink" Target="http://tabelog.com/tokyo/A1302/A130201/13148661/" TargetMode="External"/><Relationship Id="rId12" Type="http://schemas.openxmlformats.org/officeDocument/2006/relationships/hyperlink" Target="http://plan.gnavi.co.jp/rc8vkb4c0000/plan-reserve/plan/plan_list/" TargetMode="External"/><Relationship Id="rId17" Type="http://schemas.openxmlformats.org/officeDocument/2006/relationships/hyperlink" Target="http://r.gnavi.co.jp/a058472/map/" TargetMode="External"/><Relationship Id="rId25" Type="http://schemas.openxmlformats.org/officeDocument/2006/relationships/hyperlink" Target="http://r.gnavi.co.jp/g384402/photo/" TargetMode="External"/><Relationship Id="rId33" Type="http://schemas.openxmlformats.org/officeDocument/2006/relationships/hyperlink" Target="http://www.hotpepper.jp/strJ001038809/" TargetMode="External"/><Relationship Id="rId2" Type="http://schemas.openxmlformats.org/officeDocument/2006/relationships/hyperlink" Target="http://r.gnavi.co.jp/fn6xx23j0000/?sc_lid=RS_todetail_shopname" TargetMode="External"/><Relationship Id="rId16" Type="http://schemas.openxmlformats.org/officeDocument/2006/relationships/hyperlink" Target="http://r.gnavi.co.jp/g646900/?sc_lid=RS_todetail_shopname" TargetMode="External"/><Relationship Id="rId20" Type="http://schemas.openxmlformats.org/officeDocument/2006/relationships/hyperlink" Target="http://r.gnavi.co.jp/3pr6dp7g0000/?back_id=gdh3203" TargetMode="External"/><Relationship Id="rId29" Type="http://schemas.openxmlformats.org/officeDocument/2006/relationships/hyperlink" Target="http://restaurant.ikyu.com/102212/plan/?pndt=1&amp;ikCo=10000003&amp;CosNo=10000003&amp;CosUrl=102212%2Fplan%2F%3Fpndt%3D1" TargetMode="External"/><Relationship Id="rId1" Type="http://schemas.openxmlformats.org/officeDocument/2006/relationships/hyperlink" Target="http://r.gnavi.co.jp/g060403/?sc_lid=RS_todetail_shopname" TargetMode="External"/><Relationship Id="rId6" Type="http://schemas.openxmlformats.org/officeDocument/2006/relationships/hyperlink" Target="http://tabelog.com/tokyo/A1302/A130201/13038504/" TargetMode="External"/><Relationship Id="rId11" Type="http://schemas.openxmlformats.org/officeDocument/2006/relationships/hyperlink" Target="http://tabelog.com/tokyo/A1303/A130301/13052885/" TargetMode="External"/><Relationship Id="rId24" Type="http://schemas.openxmlformats.org/officeDocument/2006/relationships/hyperlink" Target="http://tabelog.com/tokyo/A1303/A130302/13145481/dtlphotolst/3/smp2/" TargetMode="External"/><Relationship Id="rId32" Type="http://schemas.openxmlformats.org/officeDocument/2006/relationships/hyperlink" Target="http://r.gnavi.co.jp/8pmr890s0000/?back_id=g384417&amp;sc_lid=sp_enkai_detail01" TargetMode="External"/><Relationship Id="rId37" Type="http://schemas.openxmlformats.org/officeDocument/2006/relationships/printerSettings" Target="../printerSettings/printerSettings1.bin"/><Relationship Id="rId5" Type="http://schemas.openxmlformats.org/officeDocument/2006/relationships/hyperlink" Target="http://tabelog.com/tokyo/A1301/A130103/13016561/dtlmenu/" TargetMode="External"/><Relationship Id="rId15" Type="http://schemas.openxmlformats.org/officeDocument/2006/relationships/hyperlink" Target="http://r.gnavi.co.jp/e258300/?sc_lid=RS_todetail_shopname" TargetMode="External"/><Relationship Id="rId23" Type="http://schemas.openxmlformats.org/officeDocument/2006/relationships/hyperlink" Target="http://tabelog.com/tokyo/A1303/A130301/13120088/" TargetMode="External"/><Relationship Id="rId28" Type="http://schemas.openxmlformats.org/officeDocument/2006/relationships/hyperlink" Target="http://loco.yahoo.co.jp/place/g-dKK5HrEdfPc/?prop=search&amp;ei=utf-8&amp;q=%E6%B8%8B%E8%B0%B7%E3%83%92%E3%82%AB%E3%83%AA%E3%82%A8&amp;p=%E9%A3%9F%E4%BA%8B&amp;utm_source=dd_local" TargetMode="External"/><Relationship Id="rId36" Type="http://schemas.openxmlformats.org/officeDocument/2006/relationships/hyperlink" Target="http://r.gnavi.co.jp/g325200/" TargetMode="External"/><Relationship Id="rId10" Type="http://schemas.openxmlformats.org/officeDocument/2006/relationships/hyperlink" Target="http://tabelog.com/tokyo/A1303/A130302/13140376/table/" TargetMode="External"/><Relationship Id="rId19" Type="http://schemas.openxmlformats.org/officeDocument/2006/relationships/hyperlink" Target="http://www.restaurants-park.jp/information/access" TargetMode="External"/><Relationship Id="rId31" Type="http://schemas.openxmlformats.org/officeDocument/2006/relationships/hyperlink" Target="http://hitosara.com/0006058351/photo/" TargetMode="External"/><Relationship Id="rId4" Type="http://schemas.openxmlformats.org/officeDocument/2006/relationships/hyperlink" Target="http://nikkan-spa.jp/246977" TargetMode="External"/><Relationship Id="rId9" Type="http://schemas.openxmlformats.org/officeDocument/2006/relationships/hyperlink" Target="http://tabelog.com/tokyo/A1303/A130301/13117243/table/" TargetMode="External"/><Relationship Id="rId14" Type="http://schemas.openxmlformats.org/officeDocument/2006/relationships/hyperlink" Target="http://r.gnavi.co.jp/gap7009/?sc_lid=RS_todetail_shopname" TargetMode="External"/><Relationship Id="rId22" Type="http://schemas.openxmlformats.org/officeDocument/2006/relationships/hyperlink" Target="http://r.gnavi.co.jp/1de9z2k50000/?sc_lid=atb_5452517" TargetMode="External"/><Relationship Id="rId27" Type="http://schemas.openxmlformats.org/officeDocument/2006/relationships/hyperlink" Target="http://r.gnavi.co.jp/drhrvkyn0000/?sc_mid=edmweb88473" TargetMode="External"/><Relationship Id="rId30" Type="http://schemas.openxmlformats.org/officeDocument/2006/relationships/hyperlink" Target="http://tabelog.com/tokyo/A1303/A130301/13170097/" TargetMode="External"/><Relationship Id="rId35" Type="http://schemas.openxmlformats.org/officeDocument/2006/relationships/hyperlink" Target="http://tabelog.com/tokyo/A1303/A130301/13031662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r.gnavi.co.jp/favicon.ico%22%20%3e&#20061;&#24030;&#26009;&#29702;&#215;&#20491;&#23460;&#23621;&#37202;&#23627;%20&#12424;&#12363;&#12429;&#12358;&#12418;&#12435;%20&#26032;&#23487;&#35199;&#21475;&#39365;&#21069;&#24215;&#65288;&#26032;&#23487;-&#23621;&#37202;&#23627;&#65289;%20-%20&#12368;&#12427;&#12394;&#12403;" TargetMode="External"/><Relationship Id="rId13" Type="http://schemas.openxmlformats.org/officeDocument/2006/relationships/hyperlink" Target="https://r.gnavi.co.jp/6pvr1xm90000/?utm_id=type-t_pc_dsa-tenpo-sp_y_lis%3e&#29087;&#25104;&#32905;&#12496;&#12523;&#12480;&#12452;&#12491;&#12531;&#12464;%20&#12511;&#12540;&#12488;&#12487;%20&#12511;&#12540;&#12488;%20&#26032;&#27211;&#24215;&#65288;&#26032;&#27211;-&#23621;&#37202;&#23627;&#65289;%20-%20&#12368;&#12427;&#12394;&#12403;" TargetMode="External"/><Relationship Id="rId18" Type="http://schemas.openxmlformats.org/officeDocument/2006/relationships/hyperlink" Target="https://r.gnavi.co.jp/favicon.ico%22%20%3e&#38560;&#12428;&#23478;&#12480;&#12452;&#12491;&#12531;&#12464;%20&#12521;&#12463;&#12471;&#12517;&#12511;&#12540;%20&#20491;&#23460;&#65306;&#20491;&#23460;%20-%20&#12368;&#12427;&#12394;&#12403;" TargetMode="External"/><Relationship Id="rId3" Type="http://schemas.openxmlformats.org/officeDocument/2006/relationships/hyperlink" Target="https://tblg.k-img.com/favicon.ico?20170919%22%20%3e&#12467;&#12540;&#12473;&#19968;&#35239;%20%20&#21644;&#29275;&#12392;&#39340;&#32905;%20&#24693;&#27604;&#23551;%20&#12383;&#12425;&#31119;%20-%20&#24693;&#27604;&#23551;-&#23621;&#37202;&#23627;%20%5b&#39135;&#12409;&#12525;&#12464;" TargetMode="External"/><Relationship Id="rId21" Type="http://schemas.openxmlformats.org/officeDocument/2006/relationships/hyperlink" Target="http://r.gnavi.co.jp/favicon.ico%22%20%3e&#12368;&#12427;&#12394;&#12403;%20-%20&#22812;&#26223;&#20491;&#23460;&#12480;&#12452;&#12491;&#12531;&#12464;%20Shangri&#8208;La%20&#27744;&#34955;&#26481;&#21475;&#24215;&#65288;&#27744;&#34955;-&#23621;&#37202;&#23627;&#65289;" TargetMode="External"/><Relationship Id="rId7" Type="http://schemas.openxmlformats.org/officeDocument/2006/relationships/hyperlink" Target="https://tblg.k-img.com/favicon.ico?20170919%22%20%3e&#8810;&#25968;&#37327;&#38480;&#23450;&#29305;&#21029;&#12467;&#12540;&#12473;&#8811;&#65299;h&#39154;&#12415;&#25918;&#38988;&#20184;&#65291;&#35946;&#33775;&#22320;&#40335;10&#21697;5000&#8594;&#65299;&#65301;&#65296;&#65296;&#20870;%20%20&#27604;&#20869;&#22320;&#40335;&#23554;&#38272;&#20491;&#23460;&#23621;&#37202;&#23627;%20&#26032;&#23487;&#27604;&#20869;%20&#26032;&#23487;&#24215;%20&#65288;&#12304;&#26087;&#24215;&#21517;&#12305;&#20140;&#30010;&#32005;&#12375;&#12368;&#12428;&#65289;%20-&#26032;&#23487;&#19977;&#19969;&#30446;-&#23621;&#37202;&#23627;%20%5b&#39135;&#12409;&#12525;&#12464;" TargetMode="External"/><Relationship Id="rId12" Type="http://schemas.openxmlformats.org/officeDocument/2006/relationships/hyperlink" Target="https://r.gnavi.co.jp/5bpnsdyg0000/coupon/%3e&#28845;&#28988;&#28809;&#31471;&#215;&#20491;&#23460;&#23621;&#37202;&#23627;%20&#40633;&#23478;%20&#26032;&#27211;&#24215;%20&#12463;&#12540;&#12509;&#12531;%20-%20&#12368;&#12427;&#12394;&#12403;" TargetMode="External"/><Relationship Id="rId17" Type="http://schemas.openxmlformats.org/officeDocument/2006/relationships/hyperlink" Target="https://r.gnavi.co.jp/favicon.ico%22%20%3e&#12495;&#12452;&#12508;&#12540;&#12523;&#12392;&#12420;&#12365;&#35930;%20&#12420;&#12435;&#12400;&#12427;&#12511;&#12540;&#12488;&#12475;&#12531;&#12479;&#12540;%20&#20013;&#30446;&#40658;&#65288;&#20013;&#30446;&#40658;-&#23621;&#37202;&#23627;&#65289;%20-%20&#12368;&#12427;&#12394;&#12403;" TargetMode="External"/><Relationship Id="rId2" Type="http://schemas.openxmlformats.org/officeDocument/2006/relationships/hyperlink" Target="https://tblg.k-img.com/favicon.ico?20170919&#12384;&#12427;&#12414;&#12373;&#12435;%201&#19969;&#30446;%20&#65288;&#12384;&#12427;&#12414;&#12373;&#12435;%20&#12356;&#12387;&#12385;&#12423;&#12358;&#12417;&#65289;%20-%20&#24693;&#27604;&#23551;-&#23621;&#37202;&#23627;%20%5b&#39135;&#12409;&#12525;&#12464;%5d" TargetMode="External"/><Relationship Id="rId16" Type="http://schemas.openxmlformats.org/officeDocument/2006/relationships/hyperlink" Target="https://r.gnavi.co.jp/a236406/map/%20%3e&#33258;&#23478;&#35069;&#12525;&#12540;&#12473;&#12488;&#12499;&#12540;&#12501;&#39135;&#12409;&#25918;&#38988;%20&#12499;&#12473;&#12488;&#12525;&#12496;&#12531;&#12499;&#12540;&#12490;%20&#28171;&#35895;&#39365;&#21069;&#24215;%20&#22320;&#22259;&#12539;&#12450;&#12463;&#12475;&#12473;%20-%20&#12368;&#12427;&#12394;&#12403;" TargetMode="External"/><Relationship Id="rId20" Type="http://schemas.openxmlformats.org/officeDocument/2006/relationships/hyperlink" Target="http://r.gnavi.co.jp/favicon.ico%22%20%3e&#12368;&#12427;&#12394;&#12403;%20-%20&#20840;&#24109;&#20491;&#23460;&#23621;&#37202;&#23627;%20&#27743;&#25144;&#12371;&#12414;&#12385;&#27744;&#34955;&#35199;&#21475;&#24215;%20&#22320;&#22259;&#12539;&#12450;&#12463;&#12475;&#12473;" TargetMode="External"/><Relationship Id="rId1" Type="http://schemas.openxmlformats.org/officeDocument/2006/relationships/hyperlink" Target="https://r.gnavi.co.jp/6t20hc3z0000/&#9733;&#20491;&#23460;&#32905;&#12496;&#12523;&#215;&#12481;&#12540;&#12474;&#12479;&#12483;&#12459;&#12523;&#12499;%20&#12511;&#12540;&#12488;&#20304;&#34276;%20&#20116;&#21453;&#30000;&#39365;&#21069;&#24215;&#65288;&#20116;&#21453;&#30000;-&#23621;&#37202;&#23627;&#65289;%20-%20&#12368;&#12427;&#12394;&#12403;" TargetMode="External"/><Relationship Id="rId6" Type="http://schemas.openxmlformats.org/officeDocument/2006/relationships/hyperlink" Target="https://tblg.k-img.com/favicon.ico?20170919%22%20%3e&#24693;&#27604;&#23551;%20&#30334;&#40165;%20&#65288;&#12514;&#12514;&#12489;&#12522;&#65289;%20-%20&#24693;&#27604;&#23551;-&#28988;&#40165;%20%5b&#39135;&#12409;&#12525;&#12464;%5d" TargetMode="External"/><Relationship Id="rId11" Type="http://schemas.openxmlformats.org/officeDocument/2006/relationships/hyperlink" Target="https://r.gnavi.co.jp/favicon.ico%22%20%3e&#37772;&#20489;&#37326;&#33756;&#12392;&#12481;&#12540;&#12474;&#12501;&#12457;&#12531;&#12487;&#12517;%20&#26032;&#23487;&#12460;&#12540;&#12487;&#12531;&#12501;&#12449;&#12540;&#12512;%20&#26032;&#23487;&#26481;&#21475;&#24215;%20&#22320;&#22259;&#12539;&#12450;&#12463;&#12475;&#12473;%20-%20&#12368;&#12427;&#12394;&#12403;" TargetMode="External"/><Relationship Id="rId5" Type="http://schemas.openxmlformats.org/officeDocument/2006/relationships/hyperlink" Target="https://r.gnavi.co.jp/g915701/%3e&#19977;&#12484;&#30707;&#12501;&#12449;&#12540;&#12512;&#65288;&#24693;&#27604;&#23551;-&#23621;&#37202;&#23627;&#65289;%20-%20&#12368;&#12427;&#12394;&#12403;" TargetMode="External"/><Relationship Id="rId15" Type="http://schemas.openxmlformats.org/officeDocument/2006/relationships/hyperlink" Target="https://r.gnavi.co.jp/e113143/coupon/%20%3e&#9733;&#32905;&#12392;&#12481;&#12540;&#12474;&#12398;&#37202;&#22580;%20&#26481;&#20140;&#12511;&#12540;&#12488;&#12481;&#12540;&#12474;&#24037;&#22580;%20&#28171;&#35895;&#39365;&#21069;&#24215;%20&#12463;&#12540;&#12509;&#12531;%20-%20&#12368;&#12427;&#12394;&#12403;" TargetMode="External"/><Relationship Id="rId10" Type="http://schemas.openxmlformats.org/officeDocument/2006/relationships/hyperlink" Target="https://www.hotpepper.jp/favicon.ico%22%20%3e&#21338;&#22810;&#40335;%20&#26032;&#23487;&#24215;(&#23621;&#37202;&#23627;)&#65308;&#12493;&#12483;&#12488;&#20104;&#32004;&#21487;&#65310;%20%20&#12507;&#12483;&#12488;&#12506;&#12483;&#12497;&#12540;&#12464;&#12523;&#12513;" TargetMode="External"/><Relationship Id="rId19" Type="http://schemas.openxmlformats.org/officeDocument/2006/relationships/hyperlink" Target="http://r.gnavi.co.jp/favicon.ico%22%20%3e&#12368;&#12427;&#12394;&#12403;%20-%20Private&#20491;&#23460;&#12480;&#12452;&#12491;&#12531;&#12464;%20&#12522;&#12488;&#12523;&#26481;&#20140;%20&#65374;Little%20Tokyo&#65374;%20&#27744;&#34955;&#24215;&#65288;&#27744;&#34955;-&#23621;&#37202;&#23627;&#65289;" TargetMode="External"/><Relationship Id="rId4" Type="http://schemas.openxmlformats.org/officeDocument/2006/relationships/hyperlink" Target="https://tblg.k-img.com/favicon.ico?20170919&#12467;&#12540;&#12473;&#19968;&#35239;%20%20&#22320;&#40335;&#23567;&#30010;%20&#24693;&#27604;&#23551;&#24215;%20&#65288;&#12472;&#12489;&#12522;&#12467;&#12510;&#12481;&#65289;%20-%20&#24693;&#27604;&#23551;-&#23621;&#37202;&#23627;%20%5b&#39135;&#12409;&#12525;&#12464;%5d%3c/A%3e" TargetMode="External"/><Relationship Id="rId9" Type="http://schemas.openxmlformats.org/officeDocument/2006/relationships/hyperlink" Target="https://cdn.r-corona.jp/prd.rb.r-corona.jp/assets/site_files/5ihe486b/favicon.ico?v=1500678108%22%20%3e&#20491;&#23460;&#28988;&#40165;&#12496;&#12523;%20&#40165;&#29289;&#35486;%20&#26032;&#23487;&#26481;&#21475;&#24215;&#12304;&#20844;&#24335;&#12305;" TargetMode="External"/><Relationship Id="rId14" Type="http://schemas.openxmlformats.org/officeDocument/2006/relationships/hyperlink" Target="https://tblg.k-img.com/favicon.ico?20170919%22%20%3e&#12463;&#12540;&#12509;&#12531;&#12539;&#22320;&#22259;%20%20&#21517;&#21476;&#23627;&#12467;&#12540;&#12481;&#12531;&#215;&#20491;&#23460;&#23621;&#37202;&#23627;%20&#40335;&#33538;%20&#27996;&#26494;&#30010;&#12539;&#22823;&#38272;&#24215;%20-%20&#22823;&#38272;-&#23621;&#37202;&#23627;%20%5b&#39135;&#12409;&#12525;&#12464;%5d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bq-partystyle.com/area/?id=1440388758-405069&amp;ca=1" TargetMode="External"/><Relationship Id="rId13" Type="http://schemas.openxmlformats.org/officeDocument/2006/relationships/hyperlink" Target="http://www.lets-enjoyparty.com/search/?id=1370518445-017138&amp;ca=1361346670-143641&amp;mt=1" TargetMode="External"/><Relationship Id="rId3" Type="http://schemas.openxmlformats.org/officeDocument/2006/relationships/hyperlink" Target="http://www.kasikiri-party.com/space/?id=1402726534-220516&amp;p=1&amp;t_ca=1" TargetMode="External"/><Relationship Id="rId7" Type="http://schemas.openxmlformats.org/officeDocument/2006/relationships/hyperlink" Target="http://r.gnavi.co.jp/p920924/" TargetMode="External"/><Relationship Id="rId12" Type="http://schemas.openxmlformats.org/officeDocument/2006/relationships/hyperlink" Target="http://www.krungsiam.info/" TargetMode="External"/><Relationship Id="rId2" Type="http://schemas.openxmlformats.org/officeDocument/2006/relationships/hyperlink" Target="http://www.kasikiri-party.com/space/?id=1330755389-357509&amp;p=1&amp;t_ca=1" TargetMode="External"/><Relationship Id="rId16" Type="http://schemas.openxmlformats.org/officeDocument/2006/relationships/hyperlink" Target="http://www.hotpepper.jp/strJ001117129/appearance/" TargetMode="External"/><Relationship Id="rId1" Type="http://schemas.openxmlformats.org/officeDocument/2006/relationships/hyperlink" Target="http://www.greens-line.com/sub/party.html" TargetMode="External"/><Relationship Id="rId6" Type="http://schemas.openxmlformats.org/officeDocument/2006/relationships/hyperlink" Target="http://www.kasikiri-party.com/space/?id=1298613420-552644&amp;p=1&amp;t_ca=1" TargetMode="External"/><Relationship Id="rId11" Type="http://schemas.openxmlformats.org/officeDocument/2006/relationships/hyperlink" Target="http://tabelog.com/tokyo/A1317/A131703/13020335/" TargetMode="External"/><Relationship Id="rId5" Type="http://schemas.openxmlformats.org/officeDocument/2006/relationships/hyperlink" Target="http://www.kasikiri-party.com/space/?id=1404634472-267414&amp;p=2&amp;ca=15" TargetMode="External"/><Relationship Id="rId15" Type="http://schemas.openxmlformats.org/officeDocument/2006/relationships/hyperlink" Target="http://www.lets-enjoyparty.com/search/?id=1370167327-974670&amp;ca=1361346633-118568&amp;mt=1" TargetMode="External"/><Relationship Id="rId10" Type="http://schemas.openxmlformats.org/officeDocument/2006/relationships/hyperlink" Target="http://r.gnavi.co.jp/g158610/menu6/" TargetMode="External"/><Relationship Id="rId4" Type="http://schemas.openxmlformats.org/officeDocument/2006/relationships/hyperlink" Target="http://www.kasikiri-party.com/space/?id=1427357004-591915&amp;p=2&amp;t_ca=1" TargetMode="External"/><Relationship Id="rId9" Type="http://schemas.openxmlformats.org/officeDocument/2006/relationships/hyperlink" Target="http://www.kasikiri-party.com/space/?id=1421660360-994180&amp;p=2&amp;t_ca=1" TargetMode="External"/><Relationship Id="rId14" Type="http://schemas.openxmlformats.org/officeDocument/2006/relationships/hyperlink" Target="http://www.lets-enjoyparty.com/search/?id=1389170532-657320&amp;ca=1361346567-137044&amp;mt=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secure.pronto.co.jp/apl/btcr/cp/PRTPT0001/form" TargetMode="External"/><Relationship Id="rId1" Type="http://schemas.openxmlformats.org/officeDocument/2006/relationships/hyperlink" Target="http://www.greens-line.com/sub/anthem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6"/>
  <sheetViews>
    <sheetView workbookViewId="0">
      <selection activeCell="C3" sqref="C3"/>
    </sheetView>
  </sheetViews>
  <sheetFormatPr defaultRowHeight="13.5"/>
  <cols>
    <col min="2" max="2" width="9" style="4"/>
  </cols>
  <sheetData>
    <row r="1" spans="1:13">
      <c r="A1" s="2"/>
      <c r="B1" s="3"/>
    </row>
    <row r="2" spans="1:13">
      <c r="C2" t="s">
        <v>0</v>
      </c>
      <c r="I2" t="s">
        <v>1</v>
      </c>
    </row>
    <row r="3" spans="1:13">
      <c r="B3" s="4" t="s">
        <v>124</v>
      </c>
      <c r="C3" s="1" t="s">
        <v>122</v>
      </c>
    </row>
    <row r="4" spans="1:13">
      <c r="B4" s="4" t="s">
        <v>124</v>
      </c>
      <c r="C4" s="1" t="s">
        <v>123</v>
      </c>
    </row>
    <row r="5" spans="1:13">
      <c r="B5" s="4" t="s">
        <v>126</v>
      </c>
      <c r="C5" s="1" t="s">
        <v>125</v>
      </c>
    </row>
    <row r="6" spans="1:13">
      <c r="B6" s="4" t="s">
        <v>114</v>
      </c>
      <c r="C6" s="1" t="s">
        <v>117</v>
      </c>
    </row>
    <row r="7" spans="1:13">
      <c r="B7" s="4" t="s">
        <v>103</v>
      </c>
      <c r="C7" s="1" t="s">
        <v>102</v>
      </c>
      <c r="I7" t="s">
        <v>104</v>
      </c>
    </row>
    <row r="8" spans="1:13">
      <c r="B8" s="4" t="s">
        <v>114</v>
      </c>
      <c r="C8" s="1" t="s">
        <v>113</v>
      </c>
    </row>
    <row r="9" spans="1:13">
      <c r="C9" s="1" t="s">
        <v>115</v>
      </c>
    </row>
    <row r="10" spans="1:13">
      <c r="C10" s="1" t="s">
        <v>2</v>
      </c>
      <c r="I10" t="s">
        <v>3</v>
      </c>
    </row>
    <row r="11" spans="1:13">
      <c r="C11" s="1" t="s">
        <v>118</v>
      </c>
    </row>
    <row r="12" spans="1:13">
      <c r="C12" s="1" t="s">
        <v>4</v>
      </c>
      <c r="I12" t="s">
        <v>5</v>
      </c>
    </row>
    <row r="13" spans="1:13">
      <c r="B13" s="4" t="s">
        <v>120</v>
      </c>
      <c r="C13" s="1" t="s">
        <v>119</v>
      </c>
    </row>
    <row r="14" spans="1:13">
      <c r="C14" s="1" t="s">
        <v>6</v>
      </c>
      <c r="I14" t="s">
        <v>7</v>
      </c>
    </row>
    <row r="15" spans="1:13">
      <c r="B15" s="4" t="s">
        <v>76</v>
      </c>
      <c r="C15" s="1" t="s">
        <v>78</v>
      </c>
      <c r="J15" t="s">
        <v>79</v>
      </c>
    </row>
    <row r="16" spans="1:13">
      <c r="B16" s="4" t="s">
        <v>12</v>
      </c>
      <c r="C16" s="1" t="s">
        <v>10</v>
      </c>
      <c r="I16" t="s">
        <v>74</v>
      </c>
      <c r="M16" t="s">
        <v>11</v>
      </c>
    </row>
    <row r="17" spans="2:9">
      <c r="B17" s="4" t="s">
        <v>13</v>
      </c>
      <c r="C17" s="1" t="s">
        <v>14</v>
      </c>
      <c r="I17" t="s">
        <v>15</v>
      </c>
    </row>
    <row r="18" spans="2:9">
      <c r="B18" s="4" t="s">
        <v>13</v>
      </c>
      <c r="C18" s="1" t="s">
        <v>16</v>
      </c>
      <c r="I18" t="s">
        <v>17</v>
      </c>
    </row>
    <row r="19" spans="2:9">
      <c r="B19" s="4" t="s">
        <v>12</v>
      </c>
      <c r="C19" s="1" t="s">
        <v>18</v>
      </c>
      <c r="I19" t="s">
        <v>19</v>
      </c>
    </row>
    <row r="20" spans="2:9">
      <c r="B20" s="4" t="s">
        <v>21</v>
      </c>
      <c r="C20" s="1" t="s">
        <v>20</v>
      </c>
      <c r="I20" t="s">
        <v>22</v>
      </c>
    </row>
    <row r="21" spans="2:9">
      <c r="B21" s="4" t="s">
        <v>21</v>
      </c>
      <c r="C21" s="1" t="s">
        <v>23</v>
      </c>
      <c r="I21" t="s">
        <v>24</v>
      </c>
    </row>
    <row r="22" spans="2:9">
      <c r="B22" s="4" t="s">
        <v>12</v>
      </c>
      <c r="C22" s="1" t="s">
        <v>25</v>
      </c>
      <c r="I22" t="s">
        <v>26</v>
      </c>
    </row>
    <row r="23" spans="2:9">
      <c r="B23" s="4" t="s">
        <v>43</v>
      </c>
      <c r="C23" s="1" t="s">
        <v>45</v>
      </c>
      <c r="I23" t="s">
        <v>44</v>
      </c>
    </row>
    <row r="24" spans="2:9">
      <c r="B24" s="4" t="s">
        <v>76</v>
      </c>
      <c r="C24" s="1" t="s">
        <v>75</v>
      </c>
      <c r="I24" t="s">
        <v>77</v>
      </c>
    </row>
    <row r="25" spans="2:9">
      <c r="B25" s="4" t="s">
        <v>41</v>
      </c>
      <c r="C25" s="1" t="s">
        <v>40</v>
      </c>
      <c r="I25" t="s">
        <v>42</v>
      </c>
    </row>
    <row r="26" spans="2:9">
      <c r="B26" s="4" t="s">
        <v>41</v>
      </c>
      <c r="C26" s="1" t="s">
        <v>46</v>
      </c>
      <c r="I26" t="s">
        <v>47</v>
      </c>
    </row>
    <row r="27" spans="2:9">
      <c r="B27" s="4" t="s">
        <v>41</v>
      </c>
      <c r="C27" s="1" t="s">
        <v>48</v>
      </c>
      <c r="I27" t="s">
        <v>49</v>
      </c>
    </row>
    <row r="28" spans="2:9">
      <c r="B28" s="4" t="s">
        <v>76</v>
      </c>
      <c r="C28" s="1" t="s">
        <v>116</v>
      </c>
      <c r="I28" t="s">
        <v>80</v>
      </c>
    </row>
    <row r="29" spans="2:9">
      <c r="B29" s="4" t="s">
        <v>37</v>
      </c>
    </row>
    <row r="30" spans="2:9">
      <c r="B30" s="4" t="s">
        <v>38</v>
      </c>
      <c r="C30" s="1" t="s">
        <v>39</v>
      </c>
      <c r="I30" t="s">
        <v>56</v>
      </c>
    </row>
    <row r="31" spans="2:9">
      <c r="B31" s="4" t="s">
        <v>38</v>
      </c>
      <c r="C31" s="1" t="s">
        <v>52</v>
      </c>
      <c r="I31" t="s">
        <v>53</v>
      </c>
    </row>
    <row r="32" spans="2:9">
      <c r="B32" s="4" t="s">
        <v>38</v>
      </c>
      <c r="C32" s="1" t="s">
        <v>51</v>
      </c>
      <c r="I32" t="s">
        <v>50</v>
      </c>
    </row>
    <row r="33" spans="2:9">
      <c r="B33" s="4" t="s">
        <v>55</v>
      </c>
      <c r="C33" s="1" t="s">
        <v>54</v>
      </c>
      <c r="I33" t="s">
        <v>57</v>
      </c>
    </row>
    <row r="35" spans="2:9">
      <c r="B35" s="4" t="s">
        <v>60</v>
      </c>
      <c r="C35" s="1" t="s">
        <v>59</v>
      </c>
      <c r="I35" t="s">
        <v>58</v>
      </c>
    </row>
    <row r="37" spans="2:9">
      <c r="B37" s="4" t="s">
        <v>62</v>
      </c>
      <c r="C37" s="1" t="s">
        <v>61</v>
      </c>
    </row>
    <row r="39" spans="2:9">
      <c r="B39" s="4" t="s">
        <v>64</v>
      </c>
      <c r="C39" s="1" t="s">
        <v>65</v>
      </c>
      <c r="I39" t="s">
        <v>63</v>
      </c>
    </row>
    <row r="40" spans="2:9">
      <c r="C40" s="1"/>
    </row>
    <row r="41" spans="2:9">
      <c r="B41" s="4" t="s">
        <v>91</v>
      </c>
      <c r="C41" s="1" t="s">
        <v>92</v>
      </c>
      <c r="I41" t="s">
        <v>93</v>
      </c>
    </row>
    <row r="42" spans="2:9">
      <c r="C42" s="1" t="s">
        <v>94</v>
      </c>
      <c r="I42" t="s">
        <v>100</v>
      </c>
    </row>
    <row r="44" spans="2:9">
      <c r="C44" t="s">
        <v>8</v>
      </c>
    </row>
    <row r="46" spans="2:9">
      <c r="C46" s="1" t="s">
        <v>9</v>
      </c>
    </row>
  </sheetData>
  <phoneticPr fontId="1"/>
  <hyperlinks>
    <hyperlink ref="C10" r:id="rId1"/>
    <hyperlink ref="C12" r:id="rId2"/>
    <hyperlink ref="C14" r:id="rId3"/>
    <hyperlink ref="C46" r:id="rId4"/>
    <hyperlink ref="C16" r:id="rId5"/>
    <hyperlink ref="C17" r:id="rId6"/>
    <hyperlink ref="C18" r:id="rId7"/>
    <hyperlink ref="C19" r:id="rId8"/>
    <hyperlink ref="C20" r:id="rId9"/>
    <hyperlink ref="C21" r:id="rId10"/>
    <hyperlink ref="C22" r:id="rId11"/>
    <hyperlink ref="C30" r:id="rId12"/>
    <hyperlink ref="C25" r:id="rId13"/>
    <hyperlink ref="C23" r:id="rId14"/>
    <hyperlink ref="C26" r:id="rId15"/>
    <hyperlink ref="C27" r:id="rId16"/>
    <hyperlink ref="C32" r:id="rId17"/>
    <hyperlink ref="C31" r:id="rId18"/>
    <hyperlink ref="C33" r:id="rId19"/>
    <hyperlink ref="C35" r:id="rId20"/>
    <hyperlink ref="C37" r:id="rId21"/>
    <hyperlink ref="C39" r:id="rId22"/>
    <hyperlink ref="C24" r:id="rId23"/>
    <hyperlink ref="C15" r:id="rId24"/>
    <hyperlink ref="C41" r:id="rId25"/>
    <hyperlink ref="C42" r:id="rId26"/>
    <hyperlink ref="C7" r:id="rId27"/>
    <hyperlink ref="C8" r:id="rId28"/>
    <hyperlink ref="C9" r:id="rId29"/>
    <hyperlink ref="C28" r:id="rId30"/>
    <hyperlink ref="C6" r:id="rId31"/>
    <hyperlink ref="C11" r:id="rId32"/>
    <hyperlink ref="C13" r:id="rId33"/>
    <hyperlink ref="C3" r:id="rId34"/>
    <hyperlink ref="C4" r:id="rId35"/>
    <hyperlink ref="C5" r:id="rId36"/>
  </hyperlinks>
  <pageMargins left="0.7" right="0.7" top="0.75" bottom="0.75" header="0.3" footer="0.3"/>
  <pageSetup paperSize="9" orientation="portrait" r:id="rId37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7"/>
  <sheetViews>
    <sheetView workbookViewId="0">
      <selection activeCell="C9" sqref="C9"/>
    </sheetView>
  </sheetViews>
  <sheetFormatPr defaultRowHeight="13.5"/>
  <cols>
    <col min="2" max="2" width="13" style="20" customWidth="1"/>
    <col min="3" max="3" width="17.875" style="20" bestFit="1" customWidth="1"/>
    <col min="4" max="4" width="17.875" style="20" customWidth="1"/>
  </cols>
  <sheetData>
    <row r="1" spans="1:5">
      <c r="A1" t="s">
        <v>237</v>
      </c>
      <c r="B1" s="20" t="s">
        <v>238</v>
      </c>
      <c r="C1" s="20" t="s">
        <v>239</v>
      </c>
      <c r="D1" s="20" t="s">
        <v>242</v>
      </c>
    </row>
    <row r="2" spans="1:5">
      <c r="A2" t="s">
        <v>214</v>
      </c>
      <c r="B2" s="20" t="s">
        <v>251</v>
      </c>
      <c r="D2" s="20" t="s">
        <v>252</v>
      </c>
      <c r="E2" s="1" t="s">
        <v>250</v>
      </c>
    </row>
    <row r="3" spans="1:5">
      <c r="A3" t="s">
        <v>214</v>
      </c>
      <c r="B3" s="20" t="s">
        <v>255</v>
      </c>
      <c r="D3" s="20" t="s">
        <v>254</v>
      </c>
      <c r="E3" s="1" t="s">
        <v>253</v>
      </c>
    </row>
    <row r="4" spans="1:5">
      <c r="A4" t="s">
        <v>230</v>
      </c>
      <c r="E4" s="1" t="s">
        <v>231</v>
      </c>
    </row>
    <row r="5" spans="1:5">
      <c r="A5" t="s">
        <v>230</v>
      </c>
      <c r="E5" s="1" t="s">
        <v>232</v>
      </c>
    </row>
    <row r="7" spans="1:5">
      <c r="A7" t="s">
        <v>215</v>
      </c>
      <c r="B7" s="20" t="s">
        <v>249</v>
      </c>
      <c r="E7" s="1" t="s">
        <v>248</v>
      </c>
    </row>
    <row r="9" spans="1:5">
      <c r="A9" t="s">
        <v>233</v>
      </c>
      <c r="E9" s="1" t="s">
        <v>234</v>
      </c>
    </row>
    <row r="10" spans="1:5">
      <c r="A10" t="s">
        <v>233</v>
      </c>
      <c r="E10" s="1" t="s">
        <v>235</v>
      </c>
    </row>
    <row r="11" spans="1:5">
      <c r="A11" t="s">
        <v>233</v>
      </c>
      <c r="E11" s="1" t="s">
        <v>236</v>
      </c>
    </row>
    <row r="12" spans="1:5">
      <c r="A12" t="s">
        <v>216</v>
      </c>
      <c r="E12" s="1" t="s">
        <v>217</v>
      </c>
    </row>
    <row r="13" spans="1:5">
      <c r="A13" t="s">
        <v>216</v>
      </c>
      <c r="E13" s="1" t="s">
        <v>218</v>
      </c>
    </row>
    <row r="14" spans="1:5">
      <c r="A14" t="s">
        <v>216</v>
      </c>
      <c r="E14" s="1" t="s">
        <v>219</v>
      </c>
    </row>
    <row r="15" spans="1:5">
      <c r="A15" t="s">
        <v>216</v>
      </c>
      <c r="B15" s="20" t="s">
        <v>240</v>
      </c>
      <c r="C15" s="20" t="s">
        <v>241</v>
      </c>
      <c r="E15" s="1" t="s">
        <v>243</v>
      </c>
    </row>
    <row r="16" spans="1:5">
      <c r="A16" t="s">
        <v>216</v>
      </c>
      <c r="E16" s="1" t="s">
        <v>220</v>
      </c>
    </row>
    <row r="18" spans="1:5">
      <c r="A18" t="s">
        <v>221</v>
      </c>
      <c r="E18" s="1" t="s">
        <v>222</v>
      </c>
    </row>
    <row r="19" spans="1:5">
      <c r="A19" t="s">
        <v>221</v>
      </c>
      <c r="B19" s="20" t="s">
        <v>257</v>
      </c>
      <c r="C19" s="20" t="s">
        <v>258</v>
      </c>
      <c r="D19" s="20" t="s">
        <v>259</v>
      </c>
      <c r="E19" s="1" t="s">
        <v>223</v>
      </c>
    </row>
    <row r="20" spans="1:5">
      <c r="A20" t="s">
        <v>221</v>
      </c>
      <c r="E20" s="1" t="s">
        <v>224</v>
      </c>
    </row>
    <row r="21" spans="1:5">
      <c r="A21" t="s">
        <v>221</v>
      </c>
      <c r="E21" s="1" t="s">
        <v>225</v>
      </c>
    </row>
    <row r="22" spans="1:5">
      <c r="A22" t="s">
        <v>221</v>
      </c>
      <c r="E22" s="1" t="s">
        <v>226</v>
      </c>
    </row>
    <row r="24" spans="1:5">
      <c r="A24" t="s">
        <v>227</v>
      </c>
      <c r="B24" s="20" t="s">
        <v>247</v>
      </c>
      <c r="D24" s="20" t="s">
        <v>256</v>
      </c>
      <c r="E24" s="1" t="s">
        <v>245</v>
      </c>
    </row>
    <row r="25" spans="1:5">
      <c r="A25" t="s">
        <v>227</v>
      </c>
      <c r="B25" s="20" t="s">
        <v>246</v>
      </c>
      <c r="E25" s="1" t="s">
        <v>244</v>
      </c>
    </row>
    <row r="27" spans="1:5">
      <c r="A27" t="s">
        <v>228</v>
      </c>
      <c r="E27" s="1" t="s">
        <v>229</v>
      </c>
    </row>
  </sheetData>
  <phoneticPr fontId="1"/>
  <hyperlinks>
    <hyperlink ref="E7" r:id="rId1"/>
    <hyperlink ref="E12" r:id="rId2"/>
    <hyperlink ref="E13" r:id="rId3"/>
    <hyperlink ref="E14" r:id="rId4"/>
    <hyperlink ref="E15" r:id="rId5"/>
    <hyperlink ref="E16" r:id="rId6"/>
    <hyperlink ref="E18" r:id="rId7"/>
    <hyperlink ref="E19" r:id="rId8"/>
    <hyperlink ref="E20" r:id="rId9"/>
    <hyperlink ref="E21" r:id="rId10"/>
    <hyperlink ref="E22" r:id="rId11"/>
    <hyperlink ref="E24" r:id="rId12"/>
    <hyperlink ref="E25" r:id="rId13"/>
    <hyperlink ref="E27" r:id="rId14"/>
    <hyperlink ref="E2" r:id="rId15"/>
    <hyperlink ref="E3" r:id="rId16"/>
    <hyperlink ref="E4" r:id="rId17"/>
    <hyperlink ref="E5" r:id="rId18"/>
    <hyperlink ref="E9" r:id="rId19"/>
    <hyperlink ref="E10" r:id="rId20"/>
    <hyperlink ref="E11" r:id="rId2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2:H12"/>
  <sheetViews>
    <sheetView workbookViewId="0">
      <selection activeCell="C11" sqref="C11"/>
    </sheetView>
  </sheetViews>
  <sheetFormatPr defaultRowHeight="13.5"/>
  <sheetData>
    <row r="2" spans="1:8" ht="14.25" thickBot="1">
      <c r="H2" t="s">
        <v>209</v>
      </c>
    </row>
    <row r="3" spans="1:8" ht="14.25" thickBot="1">
      <c r="B3" t="s">
        <v>34</v>
      </c>
      <c r="C3" s="5">
        <f>SUM(C$8+D$8)</f>
        <v>67000</v>
      </c>
      <c r="E3" t="s">
        <v>35</v>
      </c>
      <c r="F3" s="6">
        <f>C$3-C$4</f>
        <v>7840</v>
      </c>
      <c r="H3" s="18">
        <v>0</v>
      </c>
    </row>
    <row r="4" spans="1:8" ht="14.25" thickBot="1">
      <c r="B4" t="s">
        <v>27</v>
      </c>
      <c r="C4" s="5">
        <f>IF($H$3=1,$F$10,$E$10)</f>
        <v>59160</v>
      </c>
    </row>
    <row r="5" spans="1:8" ht="14.25" thickBot="1">
      <c r="C5" t="s">
        <v>28</v>
      </c>
      <c r="D5" t="s">
        <v>29</v>
      </c>
    </row>
    <row r="6" spans="1:8" ht="14.25" thickBot="1">
      <c r="B6" t="s">
        <v>210</v>
      </c>
      <c r="C6" s="7">
        <v>5000</v>
      </c>
      <c r="D6" s="8">
        <v>3000</v>
      </c>
    </row>
    <row r="7" spans="1:8" ht="14.25" thickBot="1">
      <c r="B7" t="s">
        <v>30</v>
      </c>
      <c r="C7" s="7">
        <v>8</v>
      </c>
      <c r="D7" s="8">
        <v>9</v>
      </c>
    </row>
    <row r="8" spans="1:8" ht="14.25" thickBot="1">
      <c r="B8" t="s">
        <v>31</v>
      </c>
      <c r="C8" s="5">
        <f>C$6*C$7</f>
        <v>40000</v>
      </c>
      <c r="D8" s="5">
        <f>D$6*D$7</f>
        <v>27000</v>
      </c>
    </row>
    <row r="9" spans="1:8" ht="14.25" thickBot="1">
      <c r="F9" t="s">
        <v>208</v>
      </c>
    </row>
    <row r="10" spans="1:8" ht="14.25" thickBot="1">
      <c r="B10" t="s">
        <v>32</v>
      </c>
      <c r="E10" s="5">
        <f>SUM(B$12*B$11)</f>
        <v>59160</v>
      </c>
      <c r="F10">
        <f>$E$10*1.08</f>
        <v>63892.800000000003</v>
      </c>
    </row>
    <row r="11" spans="1:8" ht="14.25" thickBot="1">
      <c r="A11" t="s">
        <v>33</v>
      </c>
      <c r="B11" s="9">
        <v>3480</v>
      </c>
    </row>
    <row r="12" spans="1:8" ht="14.25" thickBot="1">
      <c r="A12" t="s">
        <v>36</v>
      </c>
      <c r="B12" s="9">
        <f>SUM($C$7:$D$7)</f>
        <v>17</v>
      </c>
    </row>
  </sheetData>
  <phoneticPr fontId="1"/>
  <conditionalFormatting sqref="B12">
    <cfRule type="expression" priority="1">
      <formula>$C$7+$D$7</formula>
    </cfRule>
  </conditionalFormatting>
  <dataValidations count="2">
    <dataValidation imeMode="disabled" allowBlank="1" showInputMessage="1" showErrorMessage="1" sqref="B11"/>
    <dataValidation imeMode="off" allowBlank="1" showInputMessage="1" showErrorMessage="1" sqref="B12 E10 C6:D8 C3:C4 F3"/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2:O27"/>
  <sheetViews>
    <sheetView topLeftCell="A3" workbookViewId="0">
      <selection activeCell="A18" sqref="A18"/>
    </sheetView>
  </sheetViews>
  <sheetFormatPr defaultRowHeight="13.5"/>
  <sheetData>
    <row r="2" spans="1:14">
      <c r="C2" s="1" t="s">
        <v>66</v>
      </c>
      <c r="H2" t="s">
        <v>67</v>
      </c>
    </row>
    <row r="4" spans="1:14">
      <c r="C4" s="1" t="s">
        <v>68</v>
      </c>
    </row>
    <row r="6" spans="1:14">
      <c r="C6" s="1" t="s">
        <v>69</v>
      </c>
      <c r="J6" t="s">
        <v>70</v>
      </c>
      <c r="N6" t="s">
        <v>71</v>
      </c>
    </row>
    <row r="8" spans="1:14">
      <c r="C8" s="1" t="s">
        <v>72</v>
      </c>
      <c r="K8" t="s">
        <v>73</v>
      </c>
    </row>
    <row r="9" spans="1:14">
      <c r="A9" t="s">
        <v>111</v>
      </c>
      <c r="B9">
        <v>4980</v>
      </c>
      <c r="C9" s="1" t="s">
        <v>112</v>
      </c>
    </row>
    <row r="10" spans="1:14">
      <c r="A10" t="s">
        <v>110</v>
      </c>
      <c r="B10">
        <v>4980</v>
      </c>
      <c r="C10" s="1" t="s">
        <v>81</v>
      </c>
      <c r="J10" t="s">
        <v>82</v>
      </c>
    </row>
    <row r="12" spans="1:14">
      <c r="A12" t="s">
        <v>110</v>
      </c>
      <c r="B12">
        <v>4200</v>
      </c>
      <c r="C12" s="1" t="s">
        <v>83</v>
      </c>
      <c r="J12" s="1" t="s">
        <v>84</v>
      </c>
      <c r="M12" t="s">
        <v>85</v>
      </c>
    </row>
    <row r="14" spans="1:14">
      <c r="A14" t="s">
        <v>111</v>
      </c>
      <c r="B14">
        <v>4500</v>
      </c>
      <c r="C14" s="1" t="s">
        <v>86</v>
      </c>
      <c r="J14" s="10" t="s">
        <v>87</v>
      </c>
    </row>
    <row r="16" spans="1:14">
      <c r="C16" s="1" t="s">
        <v>88</v>
      </c>
      <c r="L16" t="s">
        <v>89</v>
      </c>
    </row>
    <row r="18" spans="3:15">
      <c r="C18" s="1" t="s">
        <v>90</v>
      </c>
    </row>
    <row r="20" spans="3:15">
      <c r="C20" s="1" t="s">
        <v>96</v>
      </c>
      <c r="I20" t="s">
        <v>97</v>
      </c>
      <c r="J20" t="s">
        <v>98</v>
      </c>
    </row>
    <row r="22" spans="3:15">
      <c r="C22" s="1" t="s">
        <v>99</v>
      </c>
      <c r="I22" t="s">
        <v>95</v>
      </c>
      <c r="N22" t="s">
        <v>101</v>
      </c>
    </row>
    <row r="24" spans="3:15">
      <c r="C24" s="1" t="s">
        <v>105</v>
      </c>
      <c r="N24" t="s">
        <v>106</v>
      </c>
      <c r="O24" s="10" t="s">
        <v>107</v>
      </c>
    </row>
    <row r="25" spans="3:15">
      <c r="C25" s="1" t="s">
        <v>108</v>
      </c>
      <c r="N25" t="s">
        <v>106</v>
      </c>
      <c r="O25" t="s">
        <v>109</v>
      </c>
    </row>
    <row r="27" spans="3:15">
      <c r="C27" s="1" t="s">
        <v>121</v>
      </c>
    </row>
  </sheetData>
  <phoneticPr fontId="1"/>
  <hyperlinks>
    <hyperlink ref="C2" r:id="rId1"/>
    <hyperlink ref="C4" r:id="rId2"/>
    <hyperlink ref="C6" r:id="rId3"/>
    <hyperlink ref="C8" r:id="rId4"/>
    <hyperlink ref="C10" r:id="rId5"/>
    <hyperlink ref="C12" r:id="rId6"/>
    <hyperlink ref="J12" r:id="rId7"/>
    <hyperlink ref="C14" r:id="rId8"/>
    <hyperlink ref="C16" r:id="rId9"/>
    <hyperlink ref="C18" r:id="rId10"/>
    <hyperlink ref="C20" r:id="rId11"/>
    <hyperlink ref="C22" r:id="rId12"/>
    <hyperlink ref="C24" r:id="rId13" location="detail_cooking"/>
    <hyperlink ref="C25" r:id="rId14"/>
    <hyperlink ref="C9" r:id="rId15"/>
    <hyperlink ref="C27" r:id="rId16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T94"/>
  <sheetViews>
    <sheetView tabSelected="1" workbookViewId="0">
      <pane ySplit="4" topLeftCell="A79" activePane="bottomLeft" state="frozen"/>
      <selection activeCell="B1" sqref="B1"/>
      <selection pane="bottomLeft" activeCell="G95" sqref="G95"/>
    </sheetView>
  </sheetViews>
  <sheetFormatPr defaultColWidth="2.25" defaultRowHeight="13.5"/>
  <cols>
    <col min="3" max="3" width="2.625" customWidth="1"/>
    <col min="4" max="4" width="8" customWidth="1"/>
    <col min="5" max="5" width="8.25" customWidth="1"/>
    <col min="6" max="6" width="2.625" style="4" customWidth="1"/>
    <col min="7" max="7" width="7.625" customWidth="1"/>
    <col min="8" max="67" width="2.625" customWidth="1"/>
  </cols>
  <sheetData>
    <row r="1" spans="4:43">
      <c r="Q1" t="s">
        <v>191</v>
      </c>
      <c r="R1">
        <f>COUNTIF(R$6:R$35,"○")</f>
        <v>9</v>
      </c>
      <c r="S1">
        <f>R$1+COUNTIF(S$6:S$35,"○")</f>
        <v>10</v>
      </c>
      <c r="T1">
        <f t="shared" ref="T1:AI1" si="0">S$1+COUNTIF(T$6:T$35,"○")</f>
        <v>10</v>
      </c>
      <c r="U1">
        <f t="shared" si="0"/>
        <v>11</v>
      </c>
      <c r="V1">
        <f t="shared" si="0"/>
        <v>11</v>
      </c>
      <c r="W1">
        <f t="shared" si="0"/>
        <v>11</v>
      </c>
      <c r="X1">
        <f t="shared" si="0"/>
        <v>12</v>
      </c>
      <c r="Y1">
        <f t="shared" si="0"/>
        <v>12</v>
      </c>
      <c r="Z1">
        <f t="shared" si="0"/>
        <v>12</v>
      </c>
      <c r="AA1">
        <f t="shared" si="0"/>
        <v>12</v>
      </c>
      <c r="AB1">
        <f t="shared" si="0"/>
        <v>12</v>
      </c>
      <c r="AC1">
        <f t="shared" si="0"/>
        <v>12</v>
      </c>
      <c r="AD1">
        <f t="shared" si="0"/>
        <v>12</v>
      </c>
      <c r="AE1">
        <f t="shared" si="0"/>
        <v>12</v>
      </c>
      <c r="AF1">
        <f t="shared" si="0"/>
        <v>12</v>
      </c>
      <c r="AG1">
        <f t="shared" si="0"/>
        <v>13</v>
      </c>
      <c r="AH1">
        <f t="shared" si="0"/>
        <v>13</v>
      </c>
      <c r="AI1">
        <f t="shared" si="0"/>
        <v>13</v>
      </c>
    </row>
    <row r="2" spans="4:43">
      <c r="Q2" t="s">
        <v>192</v>
      </c>
      <c r="R2">
        <f>COUNTIF(R$37:R$69,"○")</f>
        <v>11</v>
      </c>
      <c r="S2">
        <f>R$2+COUNTIF(S$37:S$69,"○")</f>
        <v>11</v>
      </c>
      <c r="T2">
        <f t="shared" ref="T2:AI2" si="1">S$2+COUNTIF(T$37:T$69,"○")</f>
        <v>12</v>
      </c>
      <c r="U2">
        <f t="shared" si="1"/>
        <v>13</v>
      </c>
      <c r="V2">
        <f t="shared" si="1"/>
        <v>13</v>
      </c>
      <c r="W2">
        <f t="shared" si="1"/>
        <v>13</v>
      </c>
      <c r="X2">
        <f t="shared" si="1"/>
        <v>13</v>
      </c>
      <c r="Y2">
        <f t="shared" si="1"/>
        <v>15</v>
      </c>
      <c r="Z2">
        <f t="shared" si="1"/>
        <v>15</v>
      </c>
      <c r="AA2">
        <f t="shared" si="1"/>
        <v>15</v>
      </c>
      <c r="AB2">
        <f t="shared" si="1"/>
        <v>15</v>
      </c>
      <c r="AC2">
        <f t="shared" si="1"/>
        <v>15</v>
      </c>
      <c r="AD2">
        <f t="shared" si="1"/>
        <v>15</v>
      </c>
      <c r="AE2">
        <f t="shared" si="1"/>
        <v>15</v>
      </c>
      <c r="AF2">
        <f t="shared" si="1"/>
        <v>15</v>
      </c>
      <c r="AG2">
        <f t="shared" si="1"/>
        <v>15</v>
      </c>
      <c r="AH2">
        <f t="shared" si="1"/>
        <v>16</v>
      </c>
      <c r="AI2">
        <f t="shared" si="1"/>
        <v>16</v>
      </c>
    </row>
    <row r="3" spans="4:43">
      <c r="D3" s="2">
        <v>43009</v>
      </c>
    </row>
    <row r="4" spans="4:43">
      <c r="G4" s="12">
        <v>43009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Q4">
        <v>11</v>
      </c>
      <c r="R4">
        <v>12</v>
      </c>
      <c r="S4">
        <v>13</v>
      </c>
      <c r="T4">
        <v>14</v>
      </c>
      <c r="U4">
        <v>15</v>
      </c>
      <c r="V4">
        <v>16</v>
      </c>
      <c r="W4">
        <v>17</v>
      </c>
      <c r="X4">
        <v>18</v>
      </c>
      <c r="Y4">
        <v>19</v>
      </c>
      <c r="Z4">
        <v>20</v>
      </c>
      <c r="AA4">
        <v>21</v>
      </c>
      <c r="AB4">
        <v>22</v>
      </c>
      <c r="AC4">
        <v>23</v>
      </c>
      <c r="AD4">
        <v>24</v>
      </c>
      <c r="AE4">
        <v>25</v>
      </c>
      <c r="AF4">
        <v>26</v>
      </c>
      <c r="AG4">
        <v>27</v>
      </c>
      <c r="AH4" s="15">
        <v>28</v>
      </c>
      <c r="AI4" s="11">
        <v>29</v>
      </c>
      <c r="AJ4">
        <v>30</v>
      </c>
    </row>
    <row r="5" spans="4:43">
      <c r="D5" t="s">
        <v>131</v>
      </c>
      <c r="AQ5" s="1" t="s">
        <v>193</v>
      </c>
    </row>
    <row r="6" spans="4:43">
      <c r="D6" s="15" t="s">
        <v>134</v>
      </c>
      <c r="R6" t="s">
        <v>169</v>
      </c>
      <c r="AH6" s="15"/>
    </row>
    <row r="7" spans="4:43">
      <c r="D7" s="15" t="s">
        <v>174</v>
      </c>
      <c r="R7" t="s">
        <v>169</v>
      </c>
      <c r="AH7" s="15"/>
      <c r="AQ7" s="1" t="s">
        <v>203</v>
      </c>
    </row>
    <row r="8" spans="4:43">
      <c r="D8" s="15" t="s">
        <v>175</v>
      </c>
      <c r="R8" t="s">
        <v>169</v>
      </c>
      <c r="AH8" s="15"/>
    </row>
    <row r="9" spans="4:43">
      <c r="D9" s="13" t="s">
        <v>188</v>
      </c>
    </row>
    <row r="10" spans="4:43">
      <c r="D10" s="15" t="s">
        <v>152</v>
      </c>
      <c r="R10" t="s">
        <v>169</v>
      </c>
    </row>
    <row r="11" spans="4:43">
      <c r="D11" t="s">
        <v>202</v>
      </c>
    </row>
    <row r="12" spans="4:43">
      <c r="D12" s="14" t="s">
        <v>135</v>
      </c>
    </row>
    <row r="13" spans="4:43">
      <c r="D13" s="15" t="s">
        <v>179</v>
      </c>
      <c r="R13" t="s">
        <v>169</v>
      </c>
    </row>
    <row r="14" spans="4:43">
      <c r="D14" s="15" t="s">
        <v>136</v>
      </c>
      <c r="X14" t="s">
        <v>201</v>
      </c>
    </row>
    <row r="15" spans="4:43">
      <c r="D15" s="15" t="s">
        <v>144</v>
      </c>
      <c r="R15" t="s">
        <v>169</v>
      </c>
    </row>
    <row r="16" spans="4:43">
      <c r="D16" t="s">
        <v>187</v>
      </c>
    </row>
    <row r="17" spans="4:34">
      <c r="D17" s="15" t="s">
        <v>190</v>
      </c>
      <c r="R17" t="s">
        <v>184</v>
      </c>
    </row>
    <row r="18" spans="4:34">
      <c r="D18" s="13" t="s">
        <v>145</v>
      </c>
    </row>
    <row r="19" spans="4:34">
      <c r="D19" t="s">
        <v>166</v>
      </c>
    </row>
    <row r="20" spans="4:34">
      <c r="D20" s="13" t="s">
        <v>167</v>
      </c>
    </row>
    <row r="21" spans="4:34">
      <c r="D21" s="15" t="s">
        <v>146</v>
      </c>
      <c r="R21" t="s">
        <v>168</v>
      </c>
      <c r="U21" t="s">
        <v>199</v>
      </c>
      <c r="AH21" s="15"/>
    </row>
    <row r="22" spans="4:34">
      <c r="D22" s="15" t="s">
        <v>147</v>
      </c>
      <c r="AG22" t="s">
        <v>206</v>
      </c>
      <c r="AH22" s="15"/>
    </row>
    <row r="23" spans="4:34">
      <c r="D23" s="13" t="s">
        <v>207</v>
      </c>
      <c r="AH23" s="16"/>
    </row>
    <row r="24" spans="4:34">
      <c r="D24" s="13" t="s">
        <v>148</v>
      </c>
    </row>
    <row r="25" spans="4:34">
      <c r="D25" s="13" t="s">
        <v>149</v>
      </c>
      <c r="AH25" s="15"/>
    </row>
    <row r="26" spans="4:34">
      <c r="D26" s="15" t="s">
        <v>194</v>
      </c>
      <c r="S26" t="s">
        <v>195</v>
      </c>
    </row>
    <row r="27" spans="4:34">
      <c r="D27" t="s">
        <v>150</v>
      </c>
      <c r="R27" t="s">
        <v>168</v>
      </c>
    </row>
    <row r="28" spans="4:34">
      <c r="D28" s="13" t="s">
        <v>181</v>
      </c>
    </row>
    <row r="29" spans="4:34">
      <c r="D29" t="s">
        <v>182</v>
      </c>
    </row>
    <row r="30" spans="4:34">
      <c r="D30" s="13" t="s">
        <v>151</v>
      </c>
    </row>
    <row r="31" spans="4:34">
      <c r="D31" t="s">
        <v>153</v>
      </c>
      <c r="R31" t="s">
        <v>168</v>
      </c>
    </row>
    <row r="32" spans="4:34">
      <c r="D32" s="15" t="s">
        <v>154</v>
      </c>
      <c r="R32" t="s">
        <v>169</v>
      </c>
    </row>
    <row r="33" spans="4:34">
      <c r="D33" s="15" t="s">
        <v>155</v>
      </c>
      <c r="R33" t="s">
        <v>169</v>
      </c>
      <c r="AH33" s="15"/>
    </row>
    <row r="34" spans="4:34">
      <c r="D34" s="13" t="s">
        <v>156</v>
      </c>
    </row>
    <row r="35" spans="4:34">
      <c r="D35" t="s">
        <v>157</v>
      </c>
      <c r="R35" t="s">
        <v>168</v>
      </c>
    </row>
    <row r="36" spans="4:34">
      <c r="E36" t="s">
        <v>130</v>
      </c>
    </row>
    <row r="37" spans="4:34">
      <c r="E37" s="15" t="s">
        <v>127</v>
      </c>
      <c r="R37" t="s">
        <v>129</v>
      </c>
    </row>
    <row r="38" spans="4:34">
      <c r="E38" s="15" t="s">
        <v>128</v>
      </c>
      <c r="R38" t="s">
        <v>129</v>
      </c>
    </row>
    <row r="39" spans="4:34">
      <c r="E39" s="15" t="s">
        <v>185</v>
      </c>
      <c r="R39" t="s">
        <v>129</v>
      </c>
    </row>
    <row r="40" spans="4:34">
      <c r="E40" s="15" t="s">
        <v>189</v>
      </c>
      <c r="R40" t="s">
        <v>129</v>
      </c>
    </row>
    <row r="41" spans="4:34">
      <c r="E41" s="15" t="s">
        <v>176</v>
      </c>
      <c r="R41" t="s">
        <v>129</v>
      </c>
    </row>
    <row r="42" spans="4:34">
      <c r="E42" s="15" t="s">
        <v>132</v>
      </c>
      <c r="AH42" t="s">
        <v>129</v>
      </c>
    </row>
    <row r="43" spans="4:34">
      <c r="E43" s="15" t="s">
        <v>162</v>
      </c>
      <c r="R43" t="s">
        <v>129</v>
      </c>
    </row>
    <row r="44" spans="4:34">
      <c r="E44" s="15" t="s">
        <v>200</v>
      </c>
      <c r="U44" t="s">
        <v>201</v>
      </c>
    </row>
    <row r="45" spans="4:34">
      <c r="E45" s="15" t="s">
        <v>173</v>
      </c>
      <c r="R45" t="s">
        <v>129</v>
      </c>
    </row>
    <row r="46" spans="4:34">
      <c r="E46" t="s">
        <v>161</v>
      </c>
    </row>
    <row r="47" spans="4:34">
      <c r="E47" s="15" t="s">
        <v>183</v>
      </c>
      <c r="R47" t="s">
        <v>184</v>
      </c>
    </row>
    <row r="48" spans="4:34">
      <c r="E48" t="s">
        <v>177</v>
      </c>
    </row>
    <row r="49" spans="5:25">
      <c r="E49" t="s">
        <v>196</v>
      </c>
      <c r="S49" t="s">
        <v>197</v>
      </c>
    </row>
    <row r="50" spans="5:25">
      <c r="E50" t="s">
        <v>137</v>
      </c>
    </row>
    <row r="51" spans="5:25">
      <c r="E51" s="15" t="s">
        <v>180</v>
      </c>
      <c r="Y51" t="s">
        <v>205</v>
      </c>
    </row>
    <row r="52" spans="5:25">
      <c r="E52" s="15" t="s">
        <v>204</v>
      </c>
      <c r="Y52" t="s">
        <v>205</v>
      </c>
    </row>
    <row r="53" spans="5:25">
      <c r="E53" t="s">
        <v>138</v>
      </c>
    </row>
    <row r="54" spans="5:25">
      <c r="E54" s="15" t="s">
        <v>171</v>
      </c>
      <c r="R54" t="s">
        <v>169</v>
      </c>
    </row>
    <row r="55" spans="5:25">
      <c r="E55" s="15" t="s">
        <v>172</v>
      </c>
      <c r="R55" t="s">
        <v>168</v>
      </c>
      <c r="T55" t="s">
        <v>198</v>
      </c>
    </row>
    <row r="56" spans="5:25">
      <c r="E56" t="s">
        <v>139</v>
      </c>
    </row>
    <row r="57" spans="5:25">
      <c r="E57" s="15" t="s">
        <v>163</v>
      </c>
      <c r="R57" t="s">
        <v>169</v>
      </c>
    </row>
    <row r="58" spans="5:25">
      <c r="E58" s="15" t="s">
        <v>186</v>
      </c>
      <c r="R58" t="s">
        <v>129</v>
      </c>
    </row>
    <row r="59" spans="5:25">
      <c r="E59" t="s">
        <v>140</v>
      </c>
    </row>
    <row r="60" spans="5:25">
      <c r="E60" s="13" t="s">
        <v>141</v>
      </c>
    </row>
    <row r="61" spans="5:25">
      <c r="E61" t="s">
        <v>142</v>
      </c>
    </row>
    <row r="62" spans="5:25">
      <c r="E62" s="13" t="s">
        <v>143</v>
      </c>
      <c r="R62" t="s">
        <v>168</v>
      </c>
    </row>
    <row r="63" spans="5:25">
      <c r="E63" t="s">
        <v>170</v>
      </c>
      <c r="R63" t="s">
        <v>168</v>
      </c>
    </row>
    <row r="64" spans="5:25">
      <c r="E64" t="s">
        <v>178</v>
      </c>
      <c r="R64" t="s">
        <v>133</v>
      </c>
    </row>
    <row r="65" spans="1:46">
      <c r="E65" t="s">
        <v>158</v>
      </c>
    </row>
    <row r="66" spans="1:46">
      <c r="E66" s="13" t="s">
        <v>165</v>
      </c>
    </row>
    <row r="67" spans="1:46">
      <c r="E67" t="s">
        <v>159</v>
      </c>
    </row>
    <row r="68" spans="1:46">
      <c r="E68" s="13" t="s">
        <v>160</v>
      </c>
    </row>
    <row r="69" spans="1:46">
      <c r="E69" s="13" t="s">
        <v>164</v>
      </c>
    </row>
    <row r="71" spans="1:46">
      <c r="A71" s="21"/>
      <c r="B71" s="21"/>
      <c r="C71" s="21"/>
      <c r="D71" s="21"/>
      <c r="E71" s="21"/>
      <c r="F71" s="22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</row>
    <row r="77" spans="1:46">
      <c r="D77" t="s">
        <v>277</v>
      </c>
      <c r="E77" t="s">
        <v>278</v>
      </c>
    </row>
    <row r="78" spans="1:46">
      <c r="D78" t="s">
        <v>279</v>
      </c>
      <c r="G78" t="s">
        <v>290</v>
      </c>
    </row>
    <row r="80" spans="1:46">
      <c r="D80" t="s">
        <v>280</v>
      </c>
      <c r="G80" t="s">
        <v>291</v>
      </c>
      <c r="I80" t="s">
        <v>293</v>
      </c>
    </row>
    <row r="81" spans="4:11">
      <c r="D81" t="s">
        <v>281</v>
      </c>
      <c r="E81" t="s">
        <v>305</v>
      </c>
      <c r="G81" t="s">
        <v>292</v>
      </c>
      <c r="I81" t="s">
        <v>293</v>
      </c>
    </row>
    <row r="82" spans="4:11">
      <c r="D82" t="s">
        <v>282</v>
      </c>
      <c r="G82" t="s">
        <v>294</v>
      </c>
      <c r="I82" t="s">
        <v>293</v>
      </c>
    </row>
    <row r="83" spans="4:11">
      <c r="D83" t="s">
        <v>283</v>
      </c>
      <c r="E83" t="s">
        <v>304</v>
      </c>
      <c r="G83" t="s">
        <v>295</v>
      </c>
    </row>
    <row r="84" spans="4:11">
      <c r="D84" t="s">
        <v>284</v>
      </c>
      <c r="E84" t="s">
        <v>303</v>
      </c>
      <c r="G84" t="s">
        <v>296</v>
      </c>
    </row>
    <row r="85" spans="4:11">
      <c r="D85" t="s">
        <v>285</v>
      </c>
      <c r="E85" t="s">
        <v>302</v>
      </c>
      <c r="G85" t="s">
        <v>297</v>
      </c>
    </row>
    <row r="86" spans="4:11">
      <c r="D86" t="s">
        <v>286</v>
      </c>
      <c r="E86" t="s">
        <v>301</v>
      </c>
      <c r="G86" t="s">
        <v>298</v>
      </c>
    </row>
    <row r="87" spans="4:11">
      <c r="D87" t="s">
        <v>287</v>
      </c>
      <c r="E87" t="s">
        <v>306</v>
      </c>
      <c r="G87" t="s">
        <v>299</v>
      </c>
    </row>
    <row r="88" spans="4:11">
      <c r="D88" t="s">
        <v>288</v>
      </c>
      <c r="E88" t="s">
        <v>309</v>
      </c>
      <c r="G88" t="s">
        <v>310</v>
      </c>
      <c r="I88" t="s">
        <v>311</v>
      </c>
    </row>
    <row r="89" spans="4:11">
      <c r="D89" t="s">
        <v>289</v>
      </c>
      <c r="E89" t="s">
        <v>308</v>
      </c>
      <c r="G89" t="s">
        <v>314</v>
      </c>
    </row>
    <row r="90" spans="4:11">
      <c r="D90" t="s">
        <v>300</v>
      </c>
      <c r="E90" t="s">
        <v>307</v>
      </c>
      <c r="G90" t="s">
        <v>315</v>
      </c>
    </row>
    <row r="91" spans="4:11">
      <c r="D91" t="s">
        <v>312</v>
      </c>
      <c r="E91" t="s">
        <v>313</v>
      </c>
      <c r="G91" t="s">
        <v>316</v>
      </c>
    </row>
    <row r="92" spans="4:11">
      <c r="G92" t="s">
        <v>317</v>
      </c>
      <c r="H92" t="s">
        <v>318</v>
      </c>
      <c r="K92" t="s">
        <v>319</v>
      </c>
    </row>
    <row r="93" spans="4:11">
      <c r="G93" t="s">
        <v>320</v>
      </c>
    </row>
    <row r="94" spans="4:11">
      <c r="G94" t="s">
        <v>321</v>
      </c>
      <c r="K94" t="s">
        <v>322</v>
      </c>
    </row>
  </sheetData>
  <phoneticPr fontId="1"/>
  <conditionalFormatting sqref="G4:AJ4">
    <cfRule type="timePeriod" dxfId="0" priority="1" timePeriod="today">
      <formula>FLOOR(G4,1)=TODAY()</formula>
    </cfRule>
  </conditionalFormatting>
  <hyperlinks>
    <hyperlink ref="AQ5" r:id="rId1"/>
    <hyperlink ref="AQ7" r:id="rId2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B1:F18"/>
  <sheetViews>
    <sheetView view="pageBreakPreview" zoomScaleNormal="100" zoomScaleSheetLayoutView="100" workbookViewId="0">
      <selection activeCell="C12" sqref="C12"/>
    </sheetView>
  </sheetViews>
  <sheetFormatPr defaultRowHeight="13.5"/>
  <cols>
    <col min="2" max="2" width="4.625" customWidth="1"/>
    <col min="3" max="3" width="37.125" customWidth="1"/>
    <col min="4" max="4" width="2.75" customWidth="1"/>
    <col min="6" max="6" width="31.75" customWidth="1"/>
  </cols>
  <sheetData>
    <row r="1" spans="2:6" ht="29.25" customHeight="1"/>
    <row r="2" spans="2:6" ht="19.5" customHeight="1">
      <c r="B2" s="17"/>
      <c r="C2" s="17"/>
      <c r="E2" s="17"/>
      <c r="F2" s="17"/>
    </row>
    <row r="3" spans="2:6" ht="20.100000000000001" customHeight="1">
      <c r="B3" s="17">
        <v>1</v>
      </c>
      <c r="C3" s="17" t="s">
        <v>213</v>
      </c>
      <c r="E3" s="17">
        <v>1</v>
      </c>
      <c r="F3" s="17" t="s">
        <v>260</v>
      </c>
    </row>
    <row r="4" spans="2:6" ht="20.100000000000001" customHeight="1">
      <c r="B4" s="17">
        <v>2</v>
      </c>
      <c r="C4" s="17" t="s">
        <v>261</v>
      </c>
      <c r="E4" s="17">
        <v>2</v>
      </c>
      <c r="F4" s="17" t="s">
        <v>262</v>
      </c>
    </row>
    <row r="5" spans="2:6" ht="20.100000000000001" customHeight="1">
      <c r="B5" s="17">
        <v>3</v>
      </c>
      <c r="C5" s="17" t="s">
        <v>270</v>
      </c>
      <c r="E5" s="17">
        <v>3</v>
      </c>
      <c r="F5" s="17" t="s">
        <v>263</v>
      </c>
    </row>
    <row r="6" spans="2:6" ht="20.100000000000001" customHeight="1">
      <c r="B6" s="17">
        <v>4</v>
      </c>
      <c r="C6" s="17" t="s">
        <v>264</v>
      </c>
      <c r="E6" s="17">
        <v>4</v>
      </c>
      <c r="F6" s="17" t="s">
        <v>265</v>
      </c>
    </row>
    <row r="7" spans="2:6" ht="20.100000000000001" customHeight="1">
      <c r="B7" s="17">
        <v>5</v>
      </c>
      <c r="C7" s="17" t="s">
        <v>267</v>
      </c>
      <c r="E7" s="17">
        <v>5</v>
      </c>
      <c r="F7" s="17" t="s">
        <v>266</v>
      </c>
    </row>
    <row r="8" spans="2:6" ht="20.100000000000001" customHeight="1">
      <c r="B8" s="17">
        <v>6</v>
      </c>
      <c r="C8" s="17" t="s">
        <v>268</v>
      </c>
      <c r="E8" s="17">
        <v>6</v>
      </c>
      <c r="F8" s="17" t="s">
        <v>272</v>
      </c>
    </row>
    <row r="9" spans="2:6" ht="20.100000000000001" customHeight="1">
      <c r="B9" s="17">
        <v>7</v>
      </c>
      <c r="C9" s="17" t="s">
        <v>269</v>
      </c>
      <c r="E9" s="17">
        <v>7</v>
      </c>
      <c r="F9" s="17" t="s">
        <v>273</v>
      </c>
    </row>
    <row r="10" spans="2:6" ht="20.100000000000001" customHeight="1">
      <c r="B10" s="17">
        <v>8</v>
      </c>
      <c r="C10" s="17" t="s">
        <v>271</v>
      </c>
      <c r="E10" s="17">
        <v>8</v>
      </c>
      <c r="F10" s="17" t="s">
        <v>274</v>
      </c>
    </row>
    <row r="11" spans="2:6" ht="20.100000000000001" customHeight="1">
      <c r="B11" s="17">
        <v>9</v>
      </c>
      <c r="C11" s="17" t="s">
        <v>276</v>
      </c>
      <c r="E11" s="17">
        <v>9</v>
      </c>
      <c r="F11" s="17" t="s">
        <v>275</v>
      </c>
    </row>
    <row r="12" spans="2:6" ht="20.100000000000001" customHeight="1">
      <c r="B12" s="17">
        <v>10</v>
      </c>
      <c r="C12" s="17"/>
      <c r="E12" s="17">
        <v>10</v>
      </c>
      <c r="F12" s="17"/>
    </row>
    <row r="13" spans="2:6" ht="20.100000000000001" customHeight="1">
      <c r="B13" s="17">
        <v>11</v>
      </c>
      <c r="C13" s="17"/>
      <c r="E13" s="17">
        <v>11</v>
      </c>
      <c r="F13" s="17"/>
    </row>
    <row r="14" spans="2:6" ht="20.100000000000001" customHeight="1">
      <c r="B14" s="17">
        <v>12</v>
      </c>
      <c r="C14" s="17"/>
      <c r="E14" s="17">
        <v>12</v>
      </c>
      <c r="F14" s="17"/>
    </row>
    <row r="15" spans="2:6" ht="20.100000000000001" customHeight="1">
      <c r="B15" s="17">
        <v>13</v>
      </c>
      <c r="C15" s="17"/>
      <c r="E15" s="17">
        <v>13</v>
      </c>
      <c r="F15" s="17"/>
    </row>
    <row r="16" spans="2:6" ht="20.100000000000001" customHeight="1">
      <c r="B16" s="17">
        <v>14</v>
      </c>
      <c r="C16" s="17"/>
      <c r="E16" s="17">
        <v>14</v>
      </c>
      <c r="F16" s="17"/>
    </row>
    <row r="17" spans="2:6" ht="20.100000000000001" customHeight="1">
      <c r="B17" s="17">
        <v>15</v>
      </c>
      <c r="C17" s="17"/>
      <c r="E17" s="17">
        <v>15</v>
      </c>
      <c r="F17" s="17"/>
    </row>
    <row r="18" spans="2:6" ht="20.100000000000001" customHeight="1">
      <c r="B18" s="17">
        <v>16</v>
      </c>
      <c r="C18" s="17"/>
      <c r="E18" s="17">
        <v>16</v>
      </c>
      <c r="F18" s="17"/>
    </row>
  </sheetData>
  <phoneticPr fontId="1"/>
  <pageMargins left="0.25" right="0.25" top="0.75" bottom="0.75" header="0.3" footer="0.3"/>
  <pageSetup paperSize="9" scale="103" orientation="portrait" r:id="rId1"/>
  <colBreaks count="1" manualBreakCount="1">
    <brk id="6" max="18" man="1"/>
  </colBreaks>
</worksheet>
</file>

<file path=xl/worksheets/sheet7.xml><?xml version="1.0" encoding="utf-8"?>
<worksheet xmlns="http://schemas.openxmlformats.org/spreadsheetml/2006/main" xmlns:r="http://schemas.openxmlformats.org/officeDocument/2006/relationships">
  <dimension ref="B1:I18"/>
  <sheetViews>
    <sheetView workbookViewId="0">
      <selection activeCell="G17" sqref="G17"/>
    </sheetView>
  </sheetViews>
  <sheetFormatPr defaultRowHeight="13.5"/>
  <cols>
    <col min="2" max="2" width="9.25" bestFit="1" customWidth="1"/>
    <col min="3" max="3" width="9.25" style="19" bestFit="1" customWidth="1"/>
    <col min="9" max="9" width="10.25" bestFit="1" customWidth="1"/>
  </cols>
  <sheetData>
    <row r="1" spans="2:9">
      <c r="B1" t="s">
        <v>212</v>
      </c>
    </row>
    <row r="2" spans="2:9">
      <c r="B2" s="2">
        <v>43408</v>
      </c>
      <c r="C2" s="19">
        <v>9000</v>
      </c>
      <c r="H2" t="s">
        <v>211</v>
      </c>
      <c r="I2" s="19">
        <f>SUM(C2:C25)</f>
        <v>139340</v>
      </c>
    </row>
    <row r="3" spans="2:9">
      <c r="B3" s="2">
        <v>43420</v>
      </c>
      <c r="C3" s="19">
        <v>11000</v>
      </c>
    </row>
    <row r="4" spans="2:9">
      <c r="B4" s="2">
        <v>43429</v>
      </c>
      <c r="C4" s="19">
        <v>7000</v>
      </c>
    </row>
    <row r="5" spans="2:9">
      <c r="B5" s="2">
        <v>43435</v>
      </c>
      <c r="C5" s="19">
        <v>12000</v>
      </c>
    </row>
    <row r="6" spans="2:9">
      <c r="B6" s="2">
        <v>43443</v>
      </c>
      <c r="C6" s="19">
        <v>7000</v>
      </c>
    </row>
    <row r="7" spans="2:9">
      <c r="B7" s="2">
        <v>43815</v>
      </c>
      <c r="C7" s="19">
        <v>9000</v>
      </c>
    </row>
    <row r="8" spans="2:9">
      <c r="B8" s="2">
        <v>43462</v>
      </c>
      <c r="C8" s="19">
        <v>13000</v>
      </c>
    </row>
    <row r="9" spans="2:9">
      <c r="B9" s="2">
        <v>43471</v>
      </c>
      <c r="C9" s="19">
        <v>12000</v>
      </c>
    </row>
    <row r="10" spans="2:9">
      <c r="B10" s="2">
        <v>43477</v>
      </c>
      <c r="C10" s="19">
        <v>13500</v>
      </c>
    </row>
    <row r="11" spans="2:9">
      <c r="B11" s="2">
        <v>43485</v>
      </c>
      <c r="C11" s="19">
        <v>12000</v>
      </c>
    </row>
    <row r="12" spans="2:9">
      <c r="B12" s="2">
        <v>43493</v>
      </c>
      <c r="C12" s="19">
        <v>6500</v>
      </c>
    </row>
    <row r="13" spans="2:9">
      <c r="B13" s="2">
        <v>43499</v>
      </c>
      <c r="C13" s="19">
        <v>10500</v>
      </c>
    </row>
    <row r="14" spans="2:9">
      <c r="B14" s="2">
        <v>43507</v>
      </c>
      <c r="C14" s="19">
        <v>6000</v>
      </c>
    </row>
    <row r="15" spans="2:9">
      <c r="B15" s="2">
        <v>43569</v>
      </c>
    </row>
    <row r="17" spans="2:3">
      <c r="B17" s="2">
        <v>43625</v>
      </c>
      <c r="C17" s="19">
        <v>3000</v>
      </c>
    </row>
    <row r="18" spans="2:3">
      <c r="B18" s="2">
        <v>43638</v>
      </c>
      <c r="C18" s="19">
        <v>7840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</vt:i4>
      </vt:variant>
    </vt:vector>
  </HeadingPairs>
  <TitlesOfParts>
    <vt:vector size="9" baseType="lpstr">
      <vt:lpstr>Sheet1</vt:lpstr>
      <vt:lpstr>お店</vt:lpstr>
      <vt:lpstr>計算</vt:lpstr>
      <vt:lpstr>貸切</vt:lpstr>
      <vt:lpstr>雑多メモ</vt:lpstr>
      <vt:lpstr>Sheet2</vt:lpstr>
      <vt:lpstr>Sheet3</vt:lpstr>
      <vt:lpstr>Sheet4</vt:lpstr>
      <vt:lpstr>Sheet2!Print_Area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akira-ozeki</dc:creator>
  <cp:lastModifiedBy>YO.OZ</cp:lastModifiedBy>
  <cp:lastPrinted>2019-02-02T15:09:12Z</cp:lastPrinted>
  <dcterms:created xsi:type="dcterms:W3CDTF">2015-05-09T20:09:34Z</dcterms:created>
  <dcterms:modified xsi:type="dcterms:W3CDTF">2020-02-15T15:28:23Z</dcterms:modified>
</cp:coreProperties>
</file>